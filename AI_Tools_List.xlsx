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 Analytics\Dashboard\"/>
    </mc:Choice>
  </mc:AlternateContent>
  <xr:revisionPtr revIDLastSave="0" documentId="13_ncr:1_{35720001-2EE7-4125-85D0-54AC6311490C}" xr6:coauthVersionLast="47" xr6:coauthVersionMax="47" xr10:uidLastSave="{00000000-0000-0000-0000-000000000000}"/>
  <bookViews>
    <workbookView xWindow="-108" yWindow="-108" windowWidth="23256" windowHeight="12456" activeTab="1" xr2:uid="{002C439E-1855-4996-AD57-AC95AEE85AE5}"/>
  </bookViews>
  <sheets>
    <sheet name="AI_Tools_List" sheetId="1" r:id="rId1"/>
    <sheet name="Sheet1" sheetId="2" r:id="rId2"/>
    <sheet name="Sheet2" sheetId="3" r:id="rId3"/>
  </sheets>
  <definedNames>
    <definedName name="Slicer_Developer_Company">#N/A</definedName>
    <definedName name="Slicer_Popularity_Score__1_10">#N/A</definedName>
  </definedNames>
  <calcPr calcId="191029"/>
  <pivotCaches>
    <pivotCache cacheId="0" r:id="rId4"/>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3" l="1"/>
  <c r="L3" i="3"/>
  <c r="J27" i="3"/>
  <c r="K27" i="3"/>
  <c r="L27" i="3"/>
  <c r="J28" i="3"/>
  <c r="K28" i="3"/>
  <c r="L28" i="3"/>
  <c r="J29" i="3"/>
  <c r="K29" i="3"/>
  <c r="L29" i="3"/>
  <c r="J30" i="3"/>
  <c r="K30" i="3"/>
  <c r="L30" i="3"/>
  <c r="J31" i="3"/>
  <c r="K31" i="3"/>
  <c r="L31" i="3"/>
  <c r="J32" i="3"/>
  <c r="K32" i="3"/>
  <c r="L32" i="3"/>
  <c r="J33" i="3"/>
  <c r="K33" i="3"/>
  <c r="L33" i="3"/>
  <c r="J34" i="3"/>
  <c r="K34" i="3"/>
  <c r="L34" i="3"/>
  <c r="J35" i="3"/>
  <c r="K35" i="3"/>
  <c r="L35" i="3"/>
  <c r="J36" i="3"/>
  <c r="K36" i="3"/>
  <c r="L36" i="3"/>
  <c r="J37" i="3"/>
  <c r="K37" i="3"/>
  <c r="L37" i="3"/>
  <c r="J4" i="3"/>
  <c r="K4" i="3"/>
  <c r="L4" i="3"/>
  <c r="J5" i="3"/>
  <c r="K5" i="3"/>
  <c r="L5" i="3"/>
  <c r="J6" i="3"/>
  <c r="K6" i="3"/>
  <c r="L6" i="3"/>
  <c r="J7" i="3"/>
  <c r="K7" i="3"/>
  <c r="L7" i="3"/>
  <c r="J8" i="3"/>
  <c r="K8" i="3"/>
  <c r="L8" i="3"/>
  <c r="J9" i="3"/>
  <c r="K9" i="3"/>
  <c r="L9" i="3"/>
  <c r="J10" i="3"/>
  <c r="K10" i="3"/>
  <c r="L10" i="3"/>
  <c r="J11" i="3"/>
  <c r="K11" i="3"/>
  <c r="L11" i="3"/>
  <c r="J12" i="3"/>
  <c r="K12" i="3"/>
  <c r="L12" i="3"/>
  <c r="J13" i="3"/>
  <c r="K13" i="3"/>
  <c r="L13" i="3"/>
  <c r="J14" i="3"/>
  <c r="K14" i="3"/>
  <c r="L14" i="3"/>
  <c r="J15" i="3"/>
  <c r="K15" i="3"/>
  <c r="L15" i="3"/>
  <c r="J16" i="3"/>
  <c r="K16" i="3"/>
  <c r="L16" i="3"/>
  <c r="J17" i="3"/>
  <c r="K17" i="3"/>
  <c r="L17" i="3"/>
  <c r="J18" i="3"/>
  <c r="K18" i="3"/>
  <c r="L18" i="3"/>
  <c r="J19" i="3"/>
  <c r="K19" i="3"/>
  <c r="L19" i="3"/>
  <c r="J20" i="3"/>
  <c r="K20" i="3"/>
  <c r="L20" i="3"/>
  <c r="J21" i="3"/>
  <c r="K21" i="3"/>
  <c r="L21" i="3"/>
  <c r="J22" i="3"/>
  <c r="K22" i="3"/>
  <c r="L22" i="3"/>
  <c r="J23" i="3"/>
  <c r="K23" i="3"/>
  <c r="L23" i="3"/>
  <c r="J24" i="3"/>
  <c r="K24" i="3"/>
  <c r="L24" i="3"/>
  <c r="J25" i="3"/>
  <c r="K25" i="3"/>
  <c r="L25" i="3"/>
  <c r="J26" i="3"/>
  <c r="K26" i="3"/>
  <c r="L26" i="3"/>
</calcChain>
</file>

<file path=xl/sharedStrings.xml><?xml version="1.0" encoding="utf-8"?>
<sst xmlns="http://schemas.openxmlformats.org/spreadsheetml/2006/main" count="209" uniqueCount="132">
  <si>
    <t>AI Name</t>
  </si>
  <si>
    <t>Developer/Company</t>
  </si>
  <si>
    <t>Release Year</t>
  </si>
  <si>
    <t>AI Type</t>
  </si>
  <si>
    <t>Main Use Case</t>
  </si>
  <si>
    <t>Popularity Score (1-10)</t>
  </si>
  <si>
    <t>Estimated_Valuation_Billion_USD</t>
  </si>
  <si>
    <t>ChatGPT</t>
  </si>
  <si>
    <t>OpenAI</t>
  </si>
  <si>
    <t>Chatbot</t>
  </si>
  <si>
    <t>Text Generation</t>
  </si>
  <si>
    <t>Claude</t>
  </si>
  <si>
    <t>Anthropic</t>
  </si>
  <si>
    <t>Gemini</t>
  </si>
  <si>
    <t>Google DeepMind</t>
  </si>
  <si>
    <t>Copilot</t>
  </si>
  <si>
    <t>Microsoft</t>
  </si>
  <si>
    <t>Coding Assistant</t>
  </si>
  <si>
    <t>Code Completion</t>
  </si>
  <si>
    <t>NaN</t>
  </si>
  <si>
    <t>Midjourney</t>
  </si>
  <si>
    <t>Image Generator</t>
  </si>
  <si>
    <t>Art Generation</t>
  </si>
  <si>
    <t>DALL·E</t>
  </si>
  <si>
    <t>Stable Diffusion</t>
  </si>
  <si>
    <t>Stability AI</t>
  </si>
  <si>
    <t>Bard (Old)</t>
  </si>
  <si>
    <t>Google</t>
  </si>
  <si>
    <t>DeepSeek</t>
  </si>
  <si>
    <t>DeepSeek AI</t>
  </si>
  <si>
    <t>Text + Code Generation</t>
  </si>
  <si>
    <t>LLaMA</t>
  </si>
  <si>
    <t>Meta</t>
  </si>
  <si>
    <t>LLM</t>
  </si>
  <si>
    <t>Research</t>
  </si>
  <si>
    <t>Replika</t>
  </si>
  <si>
    <t>Luka, Inc.</t>
  </si>
  <si>
    <t>Companion</t>
  </si>
  <si>
    <t>Character.AI</t>
  </si>
  <si>
    <t>Character Technologies</t>
  </si>
  <si>
    <t>Roleplay &amp; Companion</t>
  </si>
  <si>
    <t>YouChat</t>
  </si>
  <si>
    <t>You.com</t>
  </si>
  <si>
    <t>Search Assistant</t>
  </si>
  <si>
    <t>Poe</t>
  </si>
  <si>
    <t>Quora</t>
  </si>
  <si>
    <t>Chatbot Hub</t>
  </si>
  <si>
    <t>Multi-AI Access</t>
  </si>
  <si>
    <t>Pi</t>
  </si>
  <si>
    <t>Inflection AI</t>
  </si>
  <si>
    <t>Emotional Support</t>
  </si>
  <si>
    <t>Perplexity</t>
  </si>
  <si>
    <t>Perplexity AI</t>
  </si>
  <si>
    <t>Search + QA</t>
  </si>
  <si>
    <t>Runway ML</t>
  </si>
  <si>
    <t>Runway</t>
  </si>
  <si>
    <t>Video Generator</t>
  </si>
  <si>
    <t>Video Editing</t>
  </si>
  <si>
    <t>Synthesia</t>
  </si>
  <si>
    <t>AI Avatars</t>
  </si>
  <si>
    <t>HeyGen</t>
  </si>
  <si>
    <t>Descript</t>
  </si>
  <si>
    <t>Audio &amp; Video</t>
  </si>
  <si>
    <t>Editing &amp; Voice Clone</t>
  </si>
  <si>
    <t>ElevenLabs</t>
  </si>
  <si>
    <t>Audio Generator</t>
  </si>
  <si>
    <t>Voice Cloning</t>
  </si>
  <si>
    <t>Murf AI</t>
  </si>
  <si>
    <t>Murf</t>
  </si>
  <si>
    <t>Voiceover</t>
  </si>
  <si>
    <t>Leonardo.Ai</t>
  </si>
  <si>
    <t>Leonardo AI</t>
  </si>
  <si>
    <t>Game Art</t>
  </si>
  <si>
    <t>Caktus AI</t>
  </si>
  <si>
    <t>Caktus</t>
  </si>
  <si>
    <t>Education</t>
  </si>
  <si>
    <t>Homework Help</t>
  </si>
  <si>
    <t>Elicit</t>
  </si>
  <si>
    <t>OTTO AI</t>
  </si>
  <si>
    <t>Research Assistant</t>
  </si>
  <si>
    <t>Literature Review</t>
  </si>
  <si>
    <t>SciSpace</t>
  </si>
  <si>
    <t>TypeSet</t>
  </si>
  <si>
    <t>Scientific QA</t>
  </si>
  <si>
    <t>Notion AI</t>
  </si>
  <si>
    <t>Notion</t>
  </si>
  <si>
    <t>Productivity</t>
  </si>
  <si>
    <t>Document Help</t>
  </si>
  <si>
    <t>Jasper</t>
  </si>
  <si>
    <t>Jasper AI</t>
  </si>
  <si>
    <t>Marketing</t>
  </si>
  <si>
    <t>Copywriting</t>
  </si>
  <si>
    <t>Copy.ai</t>
  </si>
  <si>
    <t>Quillbot</t>
  </si>
  <si>
    <t>Writing Assistant</t>
  </si>
  <si>
    <t>Paraphrasing</t>
  </si>
  <si>
    <t>GrammarlyGO</t>
  </si>
  <si>
    <t>Grammarly</t>
  </si>
  <si>
    <t>Writing Help</t>
  </si>
  <si>
    <t>Tome</t>
  </si>
  <si>
    <t>Presentation Tool</t>
  </si>
  <si>
    <t>AI Slides</t>
  </si>
  <si>
    <t>Beautiful.ai</t>
  </si>
  <si>
    <t>Smart Slides</t>
  </si>
  <si>
    <t>Krea AI</t>
  </si>
  <si>
    <t>Krea</t>
  </si>
  <si>
    <t>AI Design</t>
  </si>
  <si>
    <t>Pictory</t>
  </si>
  <si>
    <t>Text-to-Video</t>
  </si>
  <si>
    <t>Deep Nostalgia</t>
  </si>
  <si>
    <t>MyHeritage</t>
  </si>
  <si>
    <t>Image Animator</t>
  </si>
  <si>
    <t>Old Photo Animation</t>
  </si>
  <si>
    <t>Grok</t>
  </si>
  <si>
    <t>xAI</t>
  </si>
  <si>
    <t>Tabnine</t>
  </si>
  <si>
    <t>Codota</t>
  </si>
  <si>
    <t>Blackbox AI</t>
  </si>
  <si>
    <t>Code Suggestion</t>
  </si>
  <si>
    <t>Adept ACT-1</t>
  </si>
  <si>
    <t>Adept AI</t>
  </si>
  <si>
    <t>Action Agent</t>
  </si>
  <si>
    <t>UI Automation</t>
  </si>
  <si>
    <t>Row Labels</t>
  </si>
  <si>
    <t>Grand Total</t>
  </si>
  <si>
    <t>Sum of Release Year</t>
  </si>
  <si>
    <t>Sum of Popularity Score (1-10)</t>
  </si>
  <si>
    <t>Average of Popularity Score (1-10)</t>
  </si>
  <si>
    <t xml:space="preserve"> Release Year</t>
  </si>
  <si>
    <t xml:space="preserve">ujn </t>
  </si>
  <si>
    <t>Average of Estimated_Valuation_Billion_USD</t>
  </si>
  <si>
    <t>Sum of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</si>
</sst>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val="double"/>
      <sz val="1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wrapText="1"/>
    </xf>
    <xf numFmtId="0" fontId="17" fillId="33" borderId="0" xfId="0" applyFont="1" applyFill="1" applyAlignment="1">
      <alignment wrapText="1"/>
    </xf>
    <xf numFmtId="0" fontId="17" fillId="33" borderId="0" xfId="0" applyFont="1" applyFill="1"/>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8-467B-89B9-44096D319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BF9-4089-B1A7-861A269857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18-467B-89B9-44096D3193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18-467B-89B9-44096D3193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18-467B-89B9-44096D3193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18-467B-89B9-44096D3193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18-467B-89B9-44096D3193F5}"/>
              </c:ext>
            </c:extLst>
          </c:dPt>
          <c:cat>
            <c:strRef>
              <c:f>Sheet1!$K$4:$K$11</c:f>
              <c:strCache>
                <c:ptCount val="7"/>
                <c:pt idx="0">
                  <c:v>ChatGPT</c:v>
                </c:pt>
                <c:pt idx="1">
                  <c:v>Midjourney</c:v>
                </c:pt>
                <c:pt idx="2">
                  <c:v>Gemini</c:v>
                </c:pt>
                <c:pt idx="3">
                  <c:v>Claude</c:v>
                </c:pt>
                <c:pt idx="4">
                  <c:v>DALL·E</c:v>
                </c:pt>
                <c:pt idx="5">
                  <c:v>Stable Diffusion</c:v>
                </c:pt>
                <c:pt idx="6">
                  <c:v>Copilot</c:v>
                </c:pt>
              </c:strCache>
            </c:strRef>
          </c:cat>
          <c:val>
            <c:numRef>
              <c:f>Sheet1!$L$4:$L$11</c:f>
              <c:numCache>
                <c:formatCode>General</c:formatCode>
                <c:ptCount val="7"/>
                <c:pt idx="0">
                  <c:v>10</c:v>
                </c:pt>
                <c:pt idx="1">
                  <c:v>9</c:v>
                </c:pt>
                <c:pt idx="2">
                  <c:v>8.5</c:v>
                </c:pt>
                <c:pt idx="3">
                  <c:v>8.5</c:v>
                </c:pt>
                <c:pt idx="4">
                  <c:v>8.5</c:v>
                </c:pt>
                <c:pt idx="5">
                  <c:v>8</c:v>
                </c:pt>
                <c:pt idx="6">
                  <c:v>8</c:v>
                </c:pt>
              </c:numCache>
            </c:numRef>
          </c:val>
          <c:extLst>
            <c:ext xmlns:c16="http://schemas.microsoft.com/office/drawing/2014/chart" uri="{C3380CC4-5D6E-409C-BE32-E72D297353CC}">
              <c16:uniqueId val="{00000000-CBF9-4089-B1A7-861A269857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Sum of Release Year</c:v>
                </c:pt>
              </c:strCache>
            </c:strRef>
          </c:tx>
          <c:spPr>
            <a:ln w="28575" cap="rnd">
              <a:solidFill>
                <a:schemeClr val="accent1"/>
              </a:solidFill>
              <a:round/>
            </a:ln>
            <a:effectLst/>
          </c:spPr>
          <c:marker>
            <c:symbol val="none"/>
          </c:marker>
          <c:cat>
            <c:strRef>
              <c:f>Sheet1!$A$4:$A$17</c:f>
              <c:strCache>
                <c:ptCount val="13"/>
                <c:pt idx="0">
                  <c:v>Blackbox AI</c:v>
                </c:pt>
                <c:pt idx="1">
                  <c:v>Descript</c:v>
                </c:pt>
                <c:pt idx="2">
                  <c:v>Grok</c:v>
                </c:pt>
                <c:pt idx="3">
                  <c:v>HeyGen</c:v>
                </c:pt>
                <c:pt idx="4">
                  <c:v>Jasper</c:v>
                </c:pt>
                <c:pt idx="5">
                  <c:v>Krea AI</c:v>
                </c:pt>
                <c:pt idx="6">
                  <c:v>Leonardo.Ai</c:v>
                </c:pt>
                <c:pt idx="7">
                  <c:v>Murf AI</c:v>
                </c:pt>
                <c:pt idx="8">
                  <c:v>Pi</c:v>
                </c:pt>
                <c:pt idx="9">
                  <c:v>Replika</c:v>
                </c:pt>
                <c:pt idx="10">
                  <c:v>Tabnine</c:v>
                </c:pt>
                <c:pt idx="11">
                  <c:v>Tome</c:v>
                </c:pt>
                <c:pt idx="12">
                  <c:v>YouChat</c:v>
                </c:pt>
              </c:strCache>
            </c:strRef>
          </c:cat>
          <c:val>
            <c:numRef>
              <c:f>Sheet1!$B$4:$B$17</c:f>
              <c:numCache>
                <c:formatCode>General</c:formatCode>
                <c:ptCount val="13"/>
                <c:pt idx="0">
                  <c:v>2022</c:v>
                </c:pt>
                <c:pt idx="1">
                  <c:v>2020</c:v>
                </c:pt>
                <c:pt idx="2">
                  <c:v>2023</c:v>
                </c:pt>
                <c:pt idx="3">
                  <c:v>2022</c:v>
                </c:pt>
                <c:pt idx="4">
                  <c:v>2021</c:v>
                </c:pt>
                <c:pt idx="5">
                  <c:v>2023</c:v>
                </c:pt>
                <c:pt idx="6">
                  <c:v>2023</c:v>
                </c:pt>
                <c:pt idx="7">
                  <c:v>2021</c:v>
                </c:pt>
                <c:pt idx="8">
                  <c:v>2023</c:v>
                </c:pt>
                <c:pt idx="9">
                  <c:v>2017</c:v>
                </c:pt>
                <c:pt idx="10">
                  <c:v>2020</c:v>
                </c:pt>
                <c:pt idx="11">
                  <c:v>2022</c:v>
                </c:pt>
                <c:pt idx="12">
                  <c:v>2022</c:v>
                </c:pt>
              </c:numCache>
            </c:numRef>
          </c:val>
          <c:smooth val="0"/>
          <c:extLst>
            <c:ext xmlns:c16="http://schemas.microsoft.com/office/drawing/2014/chart" uri="{C3380CC4-5D6E-409C-BE32-E72D297353CC}">
              <c16:uniqueId val="{00000000-B60D-44C9-85C4-CA82C667BE8C}"/>
            </c:ext>
          </c:extLst>
        </c:ser>
        <c:ser>
          <c:idx val="1"/>
          <c:order val="1"/>
          <c:tx>
            <c:strRef>
              <c:f>Sheet1!$C$3</c:f>
              <c:strCache>
                <c:ptCount val="1"/>
                <c:pt idx="0">
                  <c:v>Average of Popularity Score (1-10)</c:v>
                </c:pt>
              </c:strCache>
            </c:strRef>
          </c:tx>
          <c:spPr>
            <a:ln w="28575" cap="rnd">
              <a:solidFill>
                <a:schemeClr val="accent2"/>
              </a:solidFill>
              <a:round/>
            </a:ln>
            <a:effectLst/>
          </c:spPr>
          <c:marker>
            <c:symbol val="none"/>
          </c:marker>
          <c:cat>
            <c:strRef>
              <c:f>Sheet1!$A$4:$A$17</c:f>
              <c:strCache>
                <c:ptCount val="13"/>
                <c:pt idx="0">
                  <c:v>Blackbox AI</c:v>
                </c:pt>
                <c:pt idx="1">
                  <c:v>Descript</c:v>
                </c:pt>
                <c:pt idx="2">
                  <c:v>Grok</c:v>
                </c:pt>
                <c:pt idx="3">
                  <c:v>HeyGen</c:v>
                </c:pt>
                <c:pt idx="4">
                  <c:v>Jasper</c:v>
                </c:pt>
                <c:pt idx="5">
                  <c:v>Krea AI</c:v>
                </c:pt>
                <c:pt idx="6">
                  <c:v>Leonardo.Ai</c:v>
                </c:pt>
                <c:pt idx="7">
                  <c:v>Murf AI</c:v>
                </c:pt>
                <c:pt idx="8">
                  <c:v>Pi</c:v>
                </c:pt>
                <c:pt idx="9">
                  <c:v>Replika</c:v>
                </c:pt>
                <c:pt idx="10">
                  <c:v>Tabnine</c:v>
                </c:pt>
                <c:pt idx="11">
                  <c:v>Tome</c:v>
                </c:pt>
                <c:pt idx="12">
                  <c:v>YouChat</c:v>
                </c:pt>
              </c:strCache>
            </c:strRef>
          </c:cat>
          <c:val>
            <c:numRef>
              <c:f>Sheet1!$C$4:$C$17</c:f>
              <c:numCache>
                <c:formatCode>General</c:formatCode>
                <c:ptCount val="13"/>
                <c:pt idx="0">
                  <c:v>6.5</c:v>
                </c:pt>
                <c:pt idx="1">
                  <c:v>6.5</c:v>
                </c:pt>
                <c:pt idx="2">
                  <c:v>6.5</c:v>
                </c:pt>
                <c:pt idx="3">
                  <c:v>6.5</c:v>
                </c:pt>
                <c:pt idx="4">
                  <c:v>6.5</c:v>
                </c:pt>
                <c:pt idx="5">
                  <c:v>6.5</c:v>
                </c:pt>
                <c:pt idx="6">
                  <c:v>6.5</c:v>
                </c:pt>
                <c:pt idx="7">
                  <c:v>6.5</c:v>
                </c:pt>
                <c:pt idx="8">
                  <c:v>6.5</c:v>
                </c:pt>
                <c:pt idx="9">
                  <c:v>6.5</c:v>
                </c:pt>
                <c:pt idx="10">
                  <c:v>6.5</c:v>
                </c:pt>
                <c:pt idx="11">
                  <c:v>6.5</c:v>
                </c:pt>
                <c:pt idx="12">
                  <c:v>6.5</c:v>
                </c:pt>
              </c:numCache>
            </c:numRef>
          </c:val>
          <c:smooth val="0"/>
          <c:extLst>
            <c:ext xmlns:c16="http://schemas.microsoft.com/office/drawing/2014/chart" uri="{C3380CC4-5D6E-409C-BE32-E72D297353CC}">
              <c16:uniqueId val="{00000001-B60D-44C9-85C4-CA82C667BE8C}"/>
            </c:ext>
          </c:extLst>
        </c:ser>
        <c:dLbls>
          <c:showLegendKey val="0"/>
          <c:showVal val="0"/>
          <c:showCatName val="0"/>
          <c:showSerName val="0"/>
          <c:showPercent val="0"/>
          <c:showBubbleSize val="0"/>
        </c:dLbls>
        <c:smooth val="0"/>
        <c:axId val="1425871135"/>
        <c:axId val="1425871615"/>
      </c:lineChart>
      <c:catAx>
        <c:axId val="14258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871615"/>
        <c:crosses val="autoZero"/>
        <c:auto val="1"/>
        <c:lblAlgn val="ctr"/>
        <c:lblOffset val="100"/>
        <c:noMultiLvlLbl val="0"/>
      </c:catAx>
      <c:valAx>
        <c:axId val="142587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87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[AI_Tools_List.xlsx]Sheet1!PivotTable5</c:name>
    <c:fmtId val="10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57217847769028"/>
          <c:y val="0.19847003499562554"/>
          <c:w val="0.48665004374453191"/>
          <c:h val="0.6293157626130067"/>
        </c:manualLayout>
      </c:layout>
      <c:barChart>
        <c:barDir val="bar"/>
        <c:grouping val="stacked"/>
        <c:varyColors val="0"/>
        <c:ser>
          <c:idx val="0"/>
          <c:order val="0"/>
          <c:tx>
            <c:strRef>
              <c:f>Sheet1!$E$47</c:f>
              <c:strCache>
                <c:ptCount val="1"/>
                <c:pt idx="0">
                  <c:v>Total</c:v>
                </c:pt>
              </c:strCache>
            </c:strRef>
          </c:tx>
          <c:spPr>
            <a:solidFill>
              <a:schemeClr val="accent1"/>
            </a:solidFill>
            <a:ln>
              <a:noFill/>
            </a:ln>
            <a:effectLst/>
          </c:spPr>
          <c:invertIfNegative val="0"/>
          <c:cat>
            <c:strRef>
              <c:f>Sheet1!$D$48:$D$49</c:f>
              <c:strCache>
                <c:ptCount val="1"/>
                <c:pt idx="0">
                  <c:v>Research Assistant</c:v>
                </c:pt>
              </c:strCache>
            </c:strRef>
          </c:cat>
          <c:val>
            <c:numRef>
              <c:f>Sheet1!$E$48:$E$49</c:f>
              <c:numCache>
                <c:formatCode>General</c:formatCode>
                <c:ptCount val="1"/>
                <c:pt idx="0">
                  <c:v>0.1</c:v>
                </c:pt>
              </c:numCache>
            </c:numRef>
          </c:val>
          <c:extLst>
            <c:ext xmlns:c16="http://schemas.microsoft.com/office/drawing/2014/chart" uri="{C3380CC4-5D6E-409C-BE32-E72D297353CC}">
              <c16:uniqueId val="{00000000-86AE-4698-AC9C-30197B97C996}"/>
            </c:ext>
          </c:extLst>
        </c:ser>
        <c:dLbls>
          <c:showLegendKey val="0"/>
          <c:showVal val="0"/>
          <c:showCatName val="0"/>
          <c:showSerName val="0"/>
          <c:showPercent val="0"/>
          <c:showBubbleSize val="0"/>
        </c:dLbls>
        <c:gapWidth val="150"/>
        <c:overlap val="100"/>
        <c:axId val="1514585535"/>
        <c:axId val="1514586975"/>
      </c:barChart>
      <c:catAx>
        <c:axId val="151458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86975"/>
        <c:crosses val="autoZero"/>
        <c:auto val="1"/>
        <c:lblAlgn val="ctr"/>
        <c:lblOffset val="100"/>
        <c:noMultiLvlLbl val="0"/>
      </c:catAx>
      <c:valAx>
        <c:axId val="151458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8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[AI_Tools_List.xlsx]Sheet1!PivotTable5</c:name>
    <c:fmtId val="1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p>
        </c:rich>
      </c:tx>
      <c:layout>
        <c:manualLayout>
          <c:xMode val="edge"/>
          <c:yMode val="edge"/>
          <c:x val="0.28085110952040088"/>
          <c:y val="0.13505732311240759"/>
        </c:manualLayout>
      </c:layout>
      <c:overlay val="0"/>
      <c:spPr>
        <a:noFill/>
        <a:ln>
          <a:solidFill>
            <a:schemeClr val="accent1">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8.3558339298496778E-2"/>
          <c:y val="0.29377970739208104"/>
          <c:w val="0.48665004374453191"/>
          <c:h val="0.6293157626130067"/>
        </c:manualLayout>
      </c:layout>
      <c:doughnutChart>
        <c:varyColors val="1"/>
        <c:ser>
          <c:idx val="0"/>
          <c:order val="0"/>
          <c:tx>
            <c:strRef>
              <c:f>Sheet1!$E$47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B5F-465A-9D9C-A95C0A150DA7}"/>
              </c:ext>
            </c:extLst>
          </c:dPt>
          <c:dPt>
            <c:idx val="1"/>
            <c:bubble3D val="0"/>
            <c:spPr>
              <a:solidFill>
                <a:schemeClr val="accent2"/>
              </a:solidFill>
              <a:ln>
                <a:noFill/>
              </a:ln>
              <a:effectLst/>
            </c:spPr>
            <c:extLst>
              <c:ext xmlns:c16="http://schemas.microsoft.com/office/drawing/2014/chart" uri="{C3380CC4-5D6E-409C-BE32-E72D297353CC}">
                <c16:uniqueId val="{00000003-9B5F-465A-9D9C-A95C0A150DA7}"/>
              </c:ext>
            </c:extLst>
          </c:dPt>
          <c:dPt>
            <c:idx val="2"/>
            <c:bubble3D val="0"/>
            <c:spPr>
              <a:solidFill>
                <a:schemeClr val="accent3"/>
              </a:solidFill>
              <a:ln>
                <a:noFill/>
              </a:ln>
              <a:effectLst/>
            </c:spPr>
            <c:extLst>
              <c:ext xmlns:c16="http://schemas.microsoft.com/office/drawing/2014/chart" uri="{C3380CC4-5D6E-409C-BE32-E72D297353CC}">
                <c16:uniqueId val="{00000005-9B5F-465A-9D9C-A95C0A150DA7}"/>
              </c:ext>
            </c:extLst>
          </c:dPt>
          <c:dPt>
            <c:idx val="3"/>
            <c:bubble3D val="0"/>
            <c:spPr>
              <a:solidFill>
                <a:schemeClr val="accent4"/>
              </a:solidFill>
              <a:ln>
                <a:noFill/>
              </a:ln>
              <a:effectLst/>
            </c:spPr>
            <c:extLst>
              <c:ext xmlns:c16="http://schemas.microsoft.com/office/drawing/2014/chart" uri="{C3380CC4-5D6E-409C-BE32-E72D297353CC}">
                <c16:uniqueId val="{00000007-9B5F-465A-9D9C-A95C0A150DA7}"/>
              </c:ext>
            </c:extLst>
          </c:dPt>
          <c:dPt>
            <c:idx val="4"/>
            <c:bubble3D val="0"/>
            <c:spPr>
              <a:solidFill>
                <a:schemeClr val="accent5"/>
              </a:solidFill>
              <a:ln>
                <a:noFill/>
              </a:ln>
              <a:effectLst/>
            </c:spPr>
            <c:extLst>
              <c:ext xmlns:c16="http://schemas.microsoft.com/office/drawing/2014/chart" uri="{C3380CC4-5D6E-409C-BE32-E72D297353CC}">
                <c16:uniqueId val="{00000009-9B5F-465A-9D9C-A95C0A150DA7}"/>
              </c:ext>
            </c:extLst>
          </c:dPt>
          <c:dPt>
            <c:idx val="5"/>
            <c:bubble3D val="0"/>
            <c:spPr>
              <a:solidFill>
                <a:schemeClr val="accent6"/>
              </a:solidFill>
              <a:ln>
                <a:noFill/>
              </a:ln>
              <a:effectLst/>
            </c:spPr>
            <c:extLst>
              <c:ext xmlns:c16="http://schemas.microsoft.com/office/drawing/2014/chart" uri="{C3380CC4-5D6E-409C-BE32-E72D297353CC}">
                <c16:uniqueId val="{0000000B-9B5F-465A-9D9C-A95C0A150DA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B5F-465A-9D9C-A95C0A150DA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B5F-465A-9D9C-A95C0A150DA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B5F-465A-9D9C-A95C0A150DA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B5F-465A-9D9C-A95C0A150DA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B5F-465A-9D9C-A95C0A150DA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9B5F-465A-9D9C-A95C0A150DA7}"/>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9B5F-465A-9D9C-A95C0A150DA7}"/>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9B5F-465A-9D9C-A95C0A150DA7}"/>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9B5F-465A-9D9C-A95C0A150DA7}"/>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9B5F-465A-9D9C-A95C0A150DA7}"/>
              </c:ext>
            </c:extLst>
          </c:dPt>
          <c:cat>
            <c:strRef>
              <c:f>Sheet1!$D$48:$D$49</c:f>
              <c:strCache>
                <c:ptCount val="1"/>
                <c:pt idx="0">
                  <c:v>Research Assistant</c:v>
                </c:pt>
              </c:strCache>
            </c:strRef>
          </c:cat>
          <c:val>
            <c:numRef>
              <c:f>Sheet1!$E$48:$E$49</c:f>
              <c:numCache>
                <c:formatCode>General</c:formatCode>
                <c:ptCount val="1"/>
                <c:pt idx="0">
                  <c:v>0.1</c:v>
                </c:pt>
              </c:numCache>
            </c:numRef>
          </c:val>
          <c:extLst>
            <c:ext xmlns:c16="http://schemas.microsoft.com/office/drawing/2014/chart" uri="{C3380CC4-5D6E-409C-BE32-E72D297353CC}">
              <c16:uniqueId val="{00000000-D006-4515-9987-515F9D4B36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0373419231687"/>
          <c:y val="0.35343554259095944"/>
          <c:w val="0.25962658076831308"/>
          <c:h val="0.56807317459240669"/>
        </c:manualLayout>
      </c:layout>
      <c:overlay val="0"/>
      <c:spPr>
        <a:noFill/>
        <a:ln>
          <a:solidFill>
            <a:schemeClr val="accent1">
              <a:lumMod val="50000"/>
            </a:scheme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[AI_Tools_List.xlsx]Sheet1!PivotTable4</c:name>
    <c:fmtId val="3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c:spPr>
      </c:pivotFmt>
      <c:pivotFmt>
        <c:idx val="27"/>
        <c:spPr>
          <a:solidFill>
            <a:schemeClr val="accent6"/>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pivotFmt>
      <c:pivotFmt>
        <c:idx val="29"/>
        <c:spPr>
          <a:solidFill>
            <a:schemeClr val="accent6"/>
          </a:solidFill>
          <a:ln>
            <a:noFill/>
          </a:ln>
          <a:effectLst>
            <a:outerShdw blurRad="254000" sx="102000" sy="102000" algn="ctr" rotWithShape="0">
              <a:prstClr val="black">
                <a:alpha val="20000"/>
              </a:prstClr>
            </a:outerShdw>
          </a:effectLst>
        </c:spPr>
      </c:pivotFmt>
      <c:pivotFmt>
        <c:idx val="30"/>
        <c:spPr>
          <a:solidFill>
            <a:schemeClr val="accent6"/>
          </a:solidFill>
          <a:ln>
            <a:noFill/>
          </a:ln>
          <a:effectLst>
            <a:outerShdw blurRad="254000" sx="102000" sy="102000" algn="ctr" rotWithShape="0">
              <a:prstClr val="black">
                <a:alpha val="20000"/>
              </a:prstClr>
            </a:outerShdw>
          </a:effectLst>
        </c:spPr>
      </c:pivotFmt>
      <c:pivotFmt>
        <c:idx val="31"/>
        <c:spPr>
          <a:solidFill>
            <a:schemeClr val="accent6"/>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Sheet1!$L$3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CD-46E1-A874-A16B72CF227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CD-46E1-A874-A16B72CF227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CD-46E1-A874-A16B72CF2279}"/>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6CD-46E1-A874-A16B72CF2279}"/>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6CD-46E1-A874-A16B72CF2279}"/>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6CD-46E1-A874-A16B72CF2279}"/>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6CD-46E1-A874-A16B72CF22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Sheet1!$K$4:$K$11</c:f>
              <c:strCache>
                <c:ptCount val="7"/>
                <c:pt idx="0">
                  <c:v>ChatGPT</c:v>
                </c:pt>
                <c:pt idx="1">
                  <c:v>Midjourney</c:v>
                </c:pt>
                <c:pt idx="2">
                  <c:v>Gemini</c:v>
                </c:pt>
                <c:pt idx="3">
                  <c:v>Claude</c:v>
                </c:pt>
                <c:pt idx="4">
                  <c:v>DALL·E</c:v>
                </c:pt>
                <c:pt idx="5">
                  <c:v>Stable Diffusion</c:v>
                </c:pt>
                <c:pt idx="6">
                  <c:v>Copilot</c:v>
                </c:pt>
              </c:strCache>
            </c:strRef>
          </c:cat>
          <c:val>
            <c:numRef>
              <c:f>Sheet1!$L$4:$L$11</c:f>
              <c:numCache>
                <c:formatCode>General</c:formatCode>
                <c:ptCount val="7"/>
                <c:pt idx="0">
                  <c:v>10</c:v>
                </c:pt>
                <c:pt idx="1">
                  <c:v>9</c:v>
                </c:pt>
                <c:pt idx="2">
                  <c:v>8.5</c:v>
                </c:pt>
                <c:pt idx="3">
                  <c:v>8.5</c:v>
                </c:pt>
                <c:pt idx="4">
                  <c:v>8.5</c:v>
                </c:pt>
                <c:pt idx="5">
                  <c:v>8</c:v>
                </c:pt>
                <c:pt idx="6">
                  <c:v>8</c:v>
                </c:pt>
              </c:numCache>
            </c:numRef>
          </c:val>
          <c:extLst>
            <c:ext xmlns:c16="http://schemas.microsoft.com/office/drawing/2014/chart" uri="{C3380CC4-5D6E-409C-BE32-E72D297353CC}">
              <c16:uniqueId val="{0000000E-B6CD-46E1-A874-A16B72CF22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151279527559053"/>
          <c:y val="0.27331474190726163"/>
          <c:w val="0.31265387139107609"/>
          <c:h val="0.486272108752992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Sum of Release Year</c:v>
                </c:pt>
              </c:strCache>
            </c:strRef>
          </c:tx>
          <c:spPr>
            <a:ln w="28575" cap="rnd">
              <a:solidFill>
                <a:schemeClr val="accent1"/>
              </a:solidFill>
              <a:round/>
            </a:ln>
            <a:effectLst/>
          </c:spPr>
          <c:marker>
            <c:symbol val="none"/>
          </c:marker>
          <c:cat>
            <c:strRef>
              <c:f>Sheet1!$A$4:$A$17</c:f>
              <c:strCache>
                <c:ptCount val="13"/>
                <c:pt idx="0">
                  <c:v>Blackbox AI</c:v>
                </c:pt>
                <c:pt idx="1">
                  <c:v>Descript</c:v>
                </c:pt>
                <c:pt idx="2">
                  <c:v>Grok</c:v>
                </c:pt>
                <c:pt idx="3">
                  <c:v>HeyGen</c:v>
                </c:pt>
                <c:pt idx="4">
                  <c:v>Jasper</c:v>
                </c:pt>
                <c:pt idx="5">
                  <c:v>Krea AI</c:v>
                </c:pt>
                <c:pt idx="6">
                  <c:v>Leonardo.Ai</c:v>
                </c:pt>
                <c:pt idx="7">
                  <c:v>Murf AI</c:v>
                </c:pt>
                <c:pt idx="8">
                  <c:v>Pi</c:v>
                </c:pt>
                <c:pt idx="9">
                  <c:v>Replika</c:v>
                </c:pt>
                <c:pt idx="10">
                  <c:v>Tabnine</c:v>
                </c:pt>
                <c:pt idx="11">
                  <c:v>Tome</c:v>
                </c:pt>
                <c:pt idx="12">
                  <c:v>YouChat</c:v>
                </c:pt>
              </c:strCache>
            </c:strRef>
          </c:cat>
          <c:val>
            <c:numRef>
              <c:f>Sheet1!$B$4:$B$17</c:f>
              <c:numCache>
                <c:formatCode>General</c:formatCode>
                <c:ptCount val="13"/>
                <c:pt idx="0">
                  <c:v>2022</c:v>
                </c:pt>
                <c:pt idx="1">
                  <c:v>2020</c:v>
                </c:pt>
                <c:pt idx="2">
                  <c:v>2023</c:v>
                </c:pt>
                <c:pt idx="3">
                  <c:v>2022</c:v>
                </c:pt>
                <c:pt idx="4">
                  <c:v>2021</c:v>
                </c:pt>
                <c:pt idx="5">
                  <c:v>2023</c:v>
                </c:pt>
                <c:pt idx="6">
                  <c:v>2023</c:v>
                </c:pt>
                <c:pt idx="7">
                  <c:v>2021</c:v>
                </c:pt>
                <c:pt idx="8">
                  <c:v>2023</c:v>
                </c:pt>
                <c:pt idx="9">
                  <c:v>2017</c:v>
                </c:pt>
                <c:pt idx="10">
                  <c:v>2020</c:v>
                </c:pt>
                <c:pt idx="11">
                  <c:v>2022</c:v>
                </c:pt>
                <c:pt idx="12">
                  <c:v>2022</c:v>
                </c:pt>
              </c:numCache>
            </c:numRef>
          </c:val>
          <c:smooth val="0"/>
          <c:extLst>
            <c:ext xmlns:c16="http://schemas.microsoft.com/office/drawing/2014/chart" uri="{C3380CC4-5D6E-409C-BE32-E72D297353CC}">
              <c16:uniqueId val="{00000000-4C82-463D-90EA-9EA0FD1B70A0}"/>
            </c:ext>
          </c:extLst>
        </c:ser>
        <c:ser>
          <c:idx val="1"/>
          <c:order val="1"/>
          <c:tx>
            <c:strRef>
              <c:f>Sheet1!$C$3</c:f>
              <c:strCache>
                <c:ptCount val="1"/>
                <c:pt idx="0">
                  <c:v>Average of Popularity Score (1-10)</c:v>
                </c:pt>
              </c:strCache>
            </c:strRef>
          </c:tx>
          <c:spPr>
            <a:ln w="28575" cap="rnd">
              <a:solidFill>
                <a:schemeClr val="accent2"/>
              </a:solidFill>
              <a:round/>
            </a:ln>
            <a:effectLst/>
          </c:spPr>
          <c:marker>
            <c:symbol val="none"/>
          </c:marker>
          <c:cat>
            <c:strRef>
              <c:f>Sheet1!$A$4:$A$17</c:f>
              <c:strCache>
                <c:ptCount val="13"/>
                <c:pt idx="0">
                  <c:v>Blackbox AI</c:v>
                </c:pt>
                <c:pt idx="1">
                  <c:v>Descript</c:v>
                </c:pt>
                <c:pt idx="2">
                  <c:v>Grok</c:v>
                </c:pt>
                <c:pt idx="3">
                  <c:v>HeyGen</c:v>
                </c:pt>
                <c:pt idx="4">
                  <c:v>Jasper</c:v>
                </c:pt>
                <c:pt idx="5">
                  <c:v>Krea AI</c:v>
                </c:pt>
                <c:pt idx="6">
                  <c:v>Leonardo.Ai</c:v>
                </c:pt>
                <c:pt idx="7">
                  <c:v>Murf AI</c:v>
                </c:pt>
                <c:pt idx="8">
                  <c:v>Pi</c:v>
                </c:pt>
                <c:pt idx="9">
                  <c:v>Replika</c:v>
                </c:pt>
                <c:pt idx="10">
                  <c:v>Tabnine</c:v>
                </c:pt>
                <c:pt idx="11">
                  <c:v>Tome</c:v>
                </c:pt>
                <c:pt idx="12">
                  <c:v>YouChat</c:v>
                </c:pt>
              </c:strCache>
            </c:strRef>
          </c:cat>
          <c:val>
            <c:numRef>
              <c:f>Sheet1!$C$4:$C$17</c:f>
              <c:numCache>
                <c:formatCode>General</c:formatCode>
                <c:ptCount val="13"/>
                <c:pt idx="0">
                  <c:v>6.5</c:v>
                </c:pt>
                <c:pt idx="1">
                  <c:v>6.5</c:v>
                </c:pt>
                <c:pt idx="2">
                  <c:v>6.5</c:v>
                </c:pt>
                <c:pt idx="3">
                  <c:v>6.5</c:v>
                </c:pt>
                <c:pt idx="4">
                  <c:v>6.5</c:v>
                </c:pt>
                <c:pt idx="5">
                  <c:v>6.5</c:v>
                </c:pt>
                <c:pt idx="6">
                  <c:v>6.5</c:v>
                </c:pt>
                <c:pt idx="7">
                  <c:v>6.5</c:v>
                </c:pt>
                <c:pt idx="8">
                  <c:v>6.5</c:v>
                </c:pt>
                <c:pt idx="9">
                  <c:v>6.5</c:v>
                </c:pt>
                <c:pt idx="10">
                  <c:v>6.5</c:v>
                </c:pt>
                <c:pt idx="11">
                  <c:v>6.5</c:v>
                </c:pt>
                <c:pt idx="12">
                  <c:v>6.5</c:v>
                </c:pt>
              </c:numCache>
            </c:numRef>
          </c:val>
          <c:smooth val="0"/>
          <c:extLst>
            <c:ext xmlns:c16="http://schemas.microsoft.com/office/drawing/2014/chart" uri="{C3380CC4-5D6E-409C-BE32-E72D297353CC}">
              <c16:uniqueId val="{00000001-4C82-463D-90EA-9EA0FD1B70A0}"/>
            </c:ext>
          </c:extLst>
        </c:ser>
        <c:dLbls>
          <c:showLegendKey val="0"/>
          <c:showVal val="0"/>
          <c:showCatName val="0"/>
          <c:showSerName val="0"/>
          <c:showPercent val="0"/>
          <c:showBubbleSize val="0"/>
        </c:dLbls>
        <c:smooth val="0"/>
        <c:axId val="1425871135"/>
        <c:axId val="1425871615"/>
      </c:lineChart>
      <c:catAx>
        <c:axId val="14258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871615"/>
        <c:crosses val="autoZero"/>
        <c:auto val="1"/>
        <c:lblAlgn val="ctr"/>
        <c:lblOffset val="100"/>
        <c:noMultiLvlLbl val="0"/>
      </c:catAx>
      <c:valAx>
        <c:axId val="142587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87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[AI_Tools_List.xlsx]Sheet1!PivotTable5</c:name>
    <c:fmtId val="10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44478663316757"/>
          <c:y val="0.19846984750707949"/>
          <c:w val="0.48665004374453191"/>
          <c:h val="0.6293157626130067"/>
        </c:manualLayout>
      </c:layout>
      <c:barChart>
        <c:barDir val="bar"/>
        <c:grouping val="stacked"/>
        <c:varyColors val="0"/>
        <c:ser>
          <c:idx val="0"/>
          <c:order val="0"/>
          <c:tx>
            <c:strRef>
              <c:f>Sheet1!$E$47</c:f>
              <c:strCache>
                <c:ptCount val="1"/>
                <c:pt idx="0">
                  <c:v>Total</c:v>
                </c:pt>
              </c:strCache>
            </c:strRef>
          </c:tx>
          <c:spPr>
            <a:solidFill>
              <a:schemeClr val="accent1"/>
            </a:solidFill>
            <a:ln>
              <a:noFill/>
            </a:ln>
            <a:effectLst/>
          </c:spPr>
          <c:invertIfNegative val="0"/>
          <c:cat>
            <c:strRef>
              <c:f>Sheet1!$D$48:$D$49</c:f>
              <c:strCache>
                <c:ptCount val="1"/>
                <c:pt idx="0">
                  <c:v>Research Assistant</c:v>
                </c:pt>
              </c:strCache>
            </c:strRef>
          </c:cat>
          <c:val>
            <c:numRef>
              <c:f>Sheet1!$E$48:$E$49</c:f>
              <c:numCache>
                <c:formatCode>General</c:formatCode>
                <c:ptCount val="1"/>
                <c:pt idx="0">
                  <c:v>0.1</c:v>
                </c:pt>
              </c:numCache>
            </c:numRef>
          </c:val>
          <c:extLst>
            <c:ext xmlns:c16="http://schemas.microsoft.com/office/drawing/2014/chart" uri="{C3380CC4-5D6E-409C-BE32-E72D297353CC}">
              <c16:uniqueId val="{00000000-4915-4CE0-99EA-227924507570}"/>
            </c:ext>
          </c:extLst>
        </c:ser>
        <c:dLbls>
          <c:showLegendKey val="0"/>
          <c:showVal val="0"/>
          <c:showCatName val="0"/>
          <c:showSerName val="0"/>
          <c:showPercent val="0"/>
          <c:showBubbleSize val="0"/>
        </c:dLbls>
        <c:gapWidth val="150"/>
        <c:overlap val="100"/>
        <c:axId val="1514585535"/>
        <c:axId val="1514586975"/>
      </c:barChart>
      <c:catAx>
        <c:axId val="151458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86975"/>
        <c:crosses val="autoZero"/>
        <c:auto val="1"/>
        <c:lblAlgn val="ctr"/>
        <c:lblOffset val="100"/>
        <c:noMultiLvlLbl val="0"/>
      </c:catAx>
      <c:valAx>
        <c:axId val="151458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8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hyperlink" Target="https://www.publicdomainpictures.net/en/view-image.php?image=658673&amp;picture=artificial-intelligence" TargetMode="External"/><Relationship Id="rId5" Type="http://schemas.openxmlformats.org/officeDocument/2006/relationships/image" Target="../media/image2.jpg"/><Relationship Id="rId4" Type="http://schemas.openxmlformats.org/officeDocument/2006/relationships/chart" Target="../charts/chart6.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3</xdr:col>
      <xdr:colOff>1013460</xdr:colOff>
      <xdr:row>16</xdr:row>
      <xdr:rowOff>53340</xdr:rowOff>
    </xdr:from>
    <xdr:to>
      <xdr:col>4</xdr:col>
      <xdr:colOff>1729740</xdr:colOff>
      <xdr:row>29</xdr:row>
      <xdr:rowOff>142875</xdr:rowOff>
    </xdr:to>
    <mc:AlternateContent xmlns:mc="http://schemas.openxmlformats.org/markup-compatibility/2006" xmlns:a14="http://schemas.microsoft.com/office/drawing/2010/main">
      <mc:Choice Requires="a14">
        <xdr:graphicFrame macro="">
          <xdr:nvGraphicFramePr>
            <xdr:cNvPr id="2" name="Developer/Company">
              <a:extLst>
                <a:ext uri="{FF2B5EF4-FFF2-40B4-BE49-F238E27FC236}">
                  <a16:creationId xmlns:a16="http://schemas.microsoft.com/office/drawing/2014/main" id="{3E911F36-78A8-DD28-3980-6FBFBDD688AE}"/>
                </a:ext>
              </a:extLst>
            </xdr:cNvPr>
            <xdr:cNvGraphicFramePr/>
          </xdr:nvGraphicFramePr>
          <xdr:xfrm>
            <a:off x="0" y="0"/>
            <a:ext cx="0" cy="0"/>
          </xdr:xfrm>
          <a:graphic>
            <a:graphicData uri="http://schemas.microsoft.com/office/drawing/2010/slicer">
              <sle:slicer xmlns:sle="http://schemas.microsoft.com/office/drawing/2010/slicer" name="Developer/Company"/>
            </a:graphicData>
          </a:graphic>
        </xdr:graphicFrame>
      </mc:Choice>
      <mc:Fallback xmlns="">
        <xdr:sp macro="" textlink="">
          <xdr:nvSpPr>
            <xdr:cNvPr id="0" name=""/>
            <xdr:cNvSpPr>
              <a:spLocks noTextEdit="1"/>
            </xdr:cNvSpPr>
          </xdr:nvSpPr>
          <xdr:spPr>
            <a:xfrm>
              <a:off x="6347460" y="2979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1112520</xdr:colOff>
      <xdr:row>15</xdr:row>
      <xdr:rowOff>137160</xdr:rowOff>
    </xdr:from>
    <xdr:to>
      <xdr:col>5</xdr:col>
      <xdr:colOff>236220</xdr:colOff>
      <xdr:row>29</xdr:row>
      <xdr:rowOff>43815</xdr:rowOff>
    </xdr:to>
    <mc:AlternateContent xmlns:mc="http://schemas.openxmlformats.org/markup-compatibility/2006" xmlns:a14="http://schemas.microsoft.com/office/drawing/2010/main">
      <mc:Choice Requires="a14">
        <xdr:graphicFrame macro="">
          <xdr:nvGraphicFramePr>
            <xdr:cNvPr id="3" name="Popularity Score (1-10)">
              <a:extLst>
                <a:ext uri="{FF2B5EF4-FFF2-40B4-BE49-F238E27FC236}">
                  <a16:creationId xmlns:a16="http://schemas.microsoft.com/office/drawing/2014/main" id="{3F24DEEC-6EC5-2AF3-18F0-C9A1CBFDD95E}"/>
                </a:ext>
              </a:extLst>
            </xdr:cNvPr>
            <xdr:cNvGraphicFramePr/>
          </xdr:nvGraphicFramePr>
          <xdr:xfrm>
            <a:off x="0" y="0"/>
            <a:ext cx="0" cy="0"/>
          </xdr:xfrm>
          <a:graphic>
            <a:graphicData uri="http://schemas.microsoft.com/office/drawing/2010/slicer">
              <sle:slicer xmlns:sle="http://schemas.microsoft.com/office/drawing/2010/slicer" name="Popularity Score (1-10)"/>
            </a:graphicData>
          </a:graphic>
        </xdr:graphicFrame>
      </mc:Choice>
      <mc:Fallback xmlns="">
        <xdr:sp macro="" textlink="">
          <xdr:nvSpPr>
            <xdr:cNvPr id="0" name=""/>
            <xdr:cNvSpPr>
              <a:spLocks noTextEdit="1"/>
            </xdr:cNvSpPr>
          </xdr:nvSpPr>
          <xdr:spPr>
            <a:xfrm>
              <a:off x="7559040" y="2880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381000</xdr:colOff>
      <xdr:row>12</xdr:row>
      <xdr:rowOff>7620</xdr:rowOff>
    </xdr:from>
    <xdr:to>
      <xdr:col>11</xdr:col>
      <xdr:colOff>914400</xdr:colOff>
      <xdr:row>24</xdr:row>
      <xdr:rowOff>156210</xdr:rowOff>
    </xdr:to>
    <xdr:graphicFrame macro="">
      <xdr:nvGraphicFramePr>
        <xdr:cNvPr id="5" name="Chart 4">
          <a:extLst>
            <a:ext uri="{FF2B5EF4-FFF2-40B4-BE49-F238E27FC236}">
              <a16:creationId xmlns:a16="http://schemas.microsoft.com/office/drawing/2014/main" id="{D4541DE1-1C10-9EB9-4A12-77417ECD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1</xdr:row>
      <xdr:rowOff>83820</xdr:rowOff>
    </xdr:from>
    <xdr:to>
      <xdr:col>6</xdr:col>
      <xdr:colOff>381000</xdr:colOff>
      <xdr:row>15</xdr:row>
      <xdr:rowOff>49530</xdr:rowOff>
    </xdr:to>
    <xdr:graphicFrame macro="">
      <xdr:nvGraphicFramePr>
        <xdr:cNvPr id="6" name="Chart 5">
          <a:extLst>
            <a:ext uri="{FF2B5EF4-FFF2-40B4-BE49-F238E27FC236}">
              <a16:creationId xmlns:a16="http://schemas.microsoft.com/office/drawing/2014/main" id="{056A9E1C-E0B9-D3A1-B2EB-F8D9B59A4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35</xdr:row>
      <xdr:rowOff>102870</xdr:rowOff>
    </xdr:from>
    <xdr:to>
      <xdr:col>10</xdr:col>
      <xdr:colOff>190500</xdr:colOff>
      <xdr:row>50</xdr:row>
      <xdr:rowOff>102870</xdr:rowOff>
    </xdr:to>
    <xdr:graphicFrame macro="">
      <xdr:nvGraphicFramePr>
        <xdr:cNvPr id="7" name="Chart 6">
          <a:extLst>
            <a:ext uri="{FF2B5EF4-FFF2-40B4-BE49-F238E27FC236}">
              <a16:creationId xmlns:a16="http://schemas.microsoft.com/office/drawing/2014/main" id="{0DFC9CA3-F43C-37A4-7F84-BF6A0C508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60158</xdr:colOff>
      <xdr:row>0</xdr:row>
      <xdr:rowOff>82665</xdr:rowOff>
    </xdr:from>
    <xdr:to>
      <xdr:col>20</xdr:col>
      <xdr:colOff>581526</xdr:colOff>
      <xdr:row>10</xdr:row>
      <xdr:rowOff>67973</xdr:rowOff>
    </xdr:to>
    <xdr:graphicFrame macro="">
      <xdr:nvGraphicFramePr>
        <xdr:cNvPr id="28" name="Chart 27">
          <a:extLst>
            <a:ext uri="{FF2B5EF4-FFF2-40B4-BE49-F238E27FC236}">
              <a16:creationId xmlns:a16="http://schemas.microsoft.com/office/drawing/2014/main" id="{A0AF517C-DC1D-472C-BC35-A16CFB11B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0</xdr:row>
      <xdr:rowOff>36927</xdr:rowOff>
    </xdr:from>
    <xdr:to>
      <xdr:col>3</xdr:col>
      <xdr:colOff>205740</xdr:colOff>
      <xdr:row>38</xdr:row>
      <xdr:rowOff>175845</xdr:rowOff>
    </xdr:to>
    <xdr:sp macro="" textlink="">
      <xdr:nvSpPr>
        <xdr:cNvPr id="3" name="Rectangle 2">
          <a:extLst>
            <a:ext uri="{FF2B5EF4-FFF2-40B4-BE49-F238E27FC236}">
              <a16:creationId xmlns:a16="http://schemas.microsoft.com/office/drawing/2014/main" id="{76AEFE8B-4263-9A57-A9A1-0B423834748E}"/>
            </a:ext>
          </a:extLst>
        </xdr:cNvPr>
        <xdr:cNvSpPr/>
      </xdr:nvSpPr>
      <xdr:spPr>
        <a:xfrm>
          <a:off x="15240" y="36927"/>
          <a:ext cx="2007577" cy="759284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endParaRPr lang="en-IN" sz="1100"/>
        </a:p>
      </xdr:txBody>
    </xdr:sp>
    <xdr:clientData/>
  </xdr:twoCellAnchor>
  <xdr:twoCellAnchor editAs="oneCell">
    <xdr:from>
      <xdr:col>0</xdr:col>
      <xdr:colOff>129736</xdr:colOff>
      <xdr:row>0</xdr:row>
      <xdr:rowOff>152400</xdr:rowOff>
    </xdr:from>
    <xdr:to>
      <xdr:col>3</xdr:col>
      <xdr:colOff>126958</xdr:colOff>
      <xdr:row>3</xdr:row>
      <xdr:rowOff>24032</xdr:rowOff>
    </xdr:to>
    <xdr:pic>
      <xdr:nvPicPr>
        <xdr:cNvPr id="8" name="Picture 7">
          <a:extLst>
            <a:ext uri="{FF2B5EF4-FFF2-40B4-BE49-F238E27FC236}">
              <a16:creationId xmlns:a16="http://schemas.microsoft.com/office/drawing/2014/main" id="{897E02F0-8A04-4D25-2AB7-C407E1B33A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3856" b="19630"/>
        <a:stretch>
          <a:fillRect/>
        </a:stretch>
      </xdr:blipFill>
      <xdr:spPr>
        <a:xfrm>
          <a:off x="129736" y="152400"/>
          <a:ext cx="1814299" cy="829017"/>
        </a:xfrm>
        <a:prstGeom prst="rect">
          <a:avLst/>
        </a:prstGeom>
      </xdr:spPr>
    </xdr:pic>
    <xdr:clientData/>
  </xdr:twoCellAnchor>
  <xdr:twoCellAnchor>
    <xdr:from>
      <xdr:col>3</xdr:col>
      <xdr:colOff>448212</xdr:colOff>
      <xdr:row>1</xdr:row>
      <xdr:rowOff>199097</xdr:rowOff>
    </xdr:from>
    <xdr:to>
      <xdr:col>8</xdr:col>
      <xdr:colOff>257712</xdr:colOff>
      <xdr:row>12</xdr:row>
      <xdr:rowOff>46697</xdr:rowOff>
    </xdr:to>
    <xdr:graphicFrame macro="">
      <xdr:nvGraphicFramePr>
        <xdr:cNvPr id="11" name="Chart 10">
          <a:extLst>
            <a:ext uri="{FF2B5EF4-FFF2-40B4-BE49-F238E27FC236}">
              <a16:creationId xmlns:a16="http://schemas.microsoft.com/office/drawing/2014/main" id="{3D0A5108-4640-4B41-9123-EFACC5956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0</xdr:row>
      <xdr:rowOff>45720</xdr:rowOff>
    </xdr:from>
    <xdr:to>
      <xdr:col>8</xdr:col>
      <xdr:colOff>381000</xdr:colOff>
      <xdr:row>1</xdr:row>
      <xdr:rowOff>129540</xdr:rowOff>
    </xdr:to>
    <xdr:sp macro="" textlink="">
      <xdr:nvSpPr>
        <xdr:cNvPr id="12" name="TextBox 11">
          <a:extLst>
            <a:ext uri="{FF2B5EF4-FFF2-40B4-BE49-F238E27FC236}">
              <a16:creationId xmlns:a16="http://schemas.microsoft.com/office/drawing/2014/main" id="{909ED41D-58A7-CE06-C4FA-EE6AB85D3DD0}"/>
            </a:ext>
          </a:extLst>
        </xdr:cNvPr>
        <xdr:cNvSpPr txBox="1"/>
      </xdr:nvSpPr>
      <xdr:spPr>
        <a:xfrm>
          <a:off x="2575560" y="45720"/>
          <a:ext cx="2682240" cy="266700"/>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chemeClr val="bg1"/>
              </a:solidFill>
            </a:rPr>
            <a:t>Most</a:t>
          </a:r>
          <a:r>
            <a:rPr lang="en-IN" sz="1400" b="1" u="sng" baseline="0">
              <a:solidFill>
                <a:schemeClr val="bg1"/>
              </a:solidFill>
            </a:rPr>
            <a:t> Popular Top 7 AI Tools</a:t>
          </a:r>
          <a:endParaRPr lang="en-IN" sz="1400" b="1" u="sng">
            <a:solidFill>
              <a:schemeClr val="bg1"/>
            </a:solidFill>
          </a:endParaRPr>
        </a:p>
      </xdr:txBody>
    </xdr:sp>
    <xdr:clientData/>
  </xdr:twoCellAnchor>
  <xdr:twoCellAnchor>
    <xdr:from>
      <xdr:col>10</xdr:col>
      <xdr:colOff>9769</xdr:colOff>
      <xdr:row>0</xdr:row>
      <xdr:rowOff>58615</xdr:rowOff>
    </xdr:from>
    <xdr:to>
      <xdr:col>11</xdr:col>
      <xdr:colOff>332154</xdr:colOff>
      <xdr:row>1</xdr:row>
      <xdr:rowOff>156308</xdr:rowOff>
    </xdr:to>
    <xdr:sp macro="" textlink="">
      <xdr:nvSpPr>
        <xdr:cNvPr id="16" name="TextBox 15">
          <a:extLst>
            <a:ext uri="{FF2B5EF4-FFF2-40B4-BE49-F238E27FC236}">
              <a16:creationId xmlns:a16="http://schemas.microsoft.com/office/drawing/2014/main" id="{4AB0C93E-C5BC-E67B-7C8A-5FCC3C0AD738}"/>
            </a:ext>
          </a:extLst>
        </xdr:cNvPr>
        <xdr:cNvSpPr txBox="1"/>
      </xdr:nvSpPr>
      <xdr:spPr>
        <a:xfrm>
          <a:off x="6066692" y="58615"/>
          <a:ext cx="1172308" cy="283308"/>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sng">
              <a:solidFill>
                <a:schemeClr val="bg1"/>
              </a:solidFill>
            </a:rPr>
            <a:t>DESCRIPTION</a:t>
          </a:r>
        </a:p>
      </xdr:txBody>
    </xdr:sp>
    <xdr:clientData/>
  </xdr:twoCellAnchor>
  <xdr:twoCellAnchor>
    <xdr:from>
      <xdr:col>3</xdr:col>
      <xdr:colOff>429847</xdr:colOff>
      <xdr:row>17</xdr:row>
      <xdr:rowOff>5399</xdr:rowOff>
    </xdr:from>
    <xdr:to>
      <xdr:col>8</xdr:col>
      <xdr:colOff>332154</xdr:colOff>
      <xdr:row>30</xdr:row>
      <xdr:rowOff>68644</xdr:rowOff>
    </xdr:to>
    <xdr:graphicFrame macro="">
      <xdr:nvGraphicFramePr>
        <xdr:cNvPr id="17" name="Chart 16">
          <a:extLst>
            <a:ext uri="{FF2B5EF4-FFF2-40B4-BE49-F238E27FC236}">
              <a16:creationId xmlns:a16="http://schemas.microsoft.com/office/drawing/2014/main" id="{FE058216-70E7-4DEE-BFF8-53DF93315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401053</xdr:colOff>
      <xdr:row>15</xdr:row>
      <xdr:rowOff>5655</xdr:rowOff>
    </xdr:from>
    <xdr:to>
      <xdr:col>8</xdr:col>
      <xdr:colOff>264284</xdr:colOff>
      <xdr:row>16</xdr:row>
      <xdr:rowOff>137283</xdr:rowOff>
    </xdr:to>
    <xdr:sp macro="" textlink="">
      <xdr:nvSpPr>
        <xdr:cNvPr id="18" name="TextBox 17">
          <a:extLst>
            <a:ext uri="{FF2B5EF4-FFF2-40B4-BE49-F238E27FC236}">
              <a16:creationId xmlns:a16="http://schemas.microsoft.com/office/drawing/2014/main" id="{F2BEC8AB-58D6-C494-815E-F9A3DF085B12}"/>
            </a:ext>
          </a:extLst>
        </xdr:cNvPr>
        <xdr:cNvSpPr txBox="1"/>
      </xdr:nvSpPr>
      <xdr:spPr>
        <a:xfrm>
          <a:off x="2847474" y="3133866"/>
          <a:ext cx="2309652" cy="312101"/>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chemeClr val="bg1"/>
              </a:solidFill>
            </a:rPr>
            <a:t>Graph Of Description</a:t>
          </a:r>
        </a:p>
      </xdr:txBody>
    </xdr:sp>
    <xdr:clientData/>
  </xdr:twoCellAnchor>
  <xdr:twoCellAnchor editAs="oneCell">
    <xdr:from>
      <xdr:col>0</xdr:col>
      <xdr:colOff>181317</xdr:colOff>
      <xdr:row>6</xdr:row>
      <xdr:rowOff>48845</xdr:rowOff>
    </xdr:from>
    <xdr:to>
      <xdr:col>3</xdr:col>
      <xdr:colOff>32121</xdr:colOff>
      <xdr:row>18</xdr:row>
      <xdr:rowOff>71363</xdr:rowOff>
    </xdr:to>
    <mc:AlternateContent xmlns:mc="http://schemas.openxmlformats.org/markup-compatibility/2006" xmlns:a14="http://schemas.microsoft.com/office/drawing/2010/main">
      <mc:Choice Requires="a14">
        <xdr:graphicFrame macro="">
          <xdr:nvGraphicFramePr>
            <xdr:cNvPr id="19" name="Developer/Company 1">
              <a:extLst>
                <a:ext uri="{FF2B5EF4-FFF2-40B4-BE49-F238E27FC236}">
                  <a16:creationId xmlns:a16="http://schemas.microsoft.com/office/drawing/2014/main" id="{489CE8A3-518B-4E2B-9E72-5626B759CAA1}"/>
                </a:ext>
              </a:extLst>
            </xdr:cNvPr>
            <xdr:cNvGraphicFramePr/>
          </xdr:nvGraphicFramePr>
          <xdr:xfrm>
            <a:off x="0" y="0"/>
            <a:ext cx="0" cy="0"/>
          </xdr:xfrm>
          <a:graphic>
            <a:graphicData uri="http://schemas.microsoft.com/office/drawing/2010/slicer">
              <sle:slicer xmlns:sle="http://schemas.microsoft.com/office/drawing/2010/slicer" name="Developer/Company 1"/>
            </a:graphicData>
          </a:graphic>
        </xdr:graphicFrame>
      </mc:Choice>
      <mc:Fallback xmlns="">
        <xdr:sp macro="" textlink="">
          <xdr:nvSpPr>
            <xdr:cNvPr id="0" name=""/>
            <xdr:cNvSpPr>
              <a:spLocks noTextEdit="1"/>
            </xdr:cNvSpPr>
          </xdr:nvSpPr>
          <xdr:spPr>
            <a:xfrm>
              <a:off x="181317" y="1552792"/>
              <a:ext cx="1685620" cy="218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171546</xdr:colOff>
      <xdr:row>19</xdr:row>
      <xdr:rowOff>9768</xdr:rowOff>
    </xdr:from>
    <xdr:to>
      <xdr:col>3</xdr:col>
      <xdr:colOff>49662</xdr:colOff>
      <xdr:row>31</xdr:row>
      <xdr:rowOff>107460</xdr:rowOff>
    </xdr:to>
    <mc:AlternateContent xmlns:mc="http://schemas.openxmlformats.org/markup-compatibility/2006" xmlns:a14="http://schemas.microsoft.com/office/drawing/2010/main">
      <mc:Choice Requires="a14">
        <xdr:graphicFrame macro="">
          <xdr:nvGraphicFramePr>
            <xdr:cNvPr id="20" name="Popularity Score (1-10) 1">
              <a:extLst>
                <a:ext uri="{FF2B5EF4-FFF2-40B4-BE49-F238E27FC236}">
                  <a16:creationId xmlns:a16="http://schemas.microsoft.com/office/drawing/2014/main" id="{DA6B9DFD-12E7-445C-A364-432B3710BF91}"/>
                </a:ext>
              </a:extLst>
            </xdr:cNvPr>
            <xdr:cNvGraphicFramePr/>
          </xdr:nvGraphicFramePr>
          <xdr:xfrm>
            <a:off x="0" y="0"/>
            <a:ext cx="0" cy="0"/>
          </xdr:xfrm>
          <a:graphic>
            <a:graphicData uri="http://schemas.microsoft.com/office/drawing/2010/slicer">
              <sle:slicer xmlns:sle="http://schemas.microsoft.com/office/drawing/2010/slicer" name="Popularity Score (1-10) 1"/>
            </a:graphicData>
          </a:graphic>
        </xdr:graphicFrame>
      </mc:Choice>
      <mc:Fallback xmlns="">
        <xdr:sp macro="" textlink="">
          <xdr:nvSpPr>
            <xdr:cNvPr id="0" name=""/>
            <xdr:cNvSpPr>
              <a:spLocks noTextEdit="1"/>
            </xdr:cNvSpPr>
          </xdr:nvSpPr>
          <xdr:spPr>
            <a:xfrm>
              <a:off x="171546" y="3859873"/>
              <a:ext cx="1712932" cy="2263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541422</xdr:colOff>
      <xdr:row>0</xdr:row>
      <xdr:rowOff>40105</xdr:rowOff>
    </xdr:from>
    <xdr:to>
      <xdr:col>28</xdr:col>
      <xdr:colOff>521370</xdr:colOff>
      <xdr:row>2</xdr:row>
      <xdr:rowOff>130343</xdr:rowOff>
    </xdr:to>
    <xdr:sp macro="" textlink="">
      <xdr:nvSpPr>
        <xdr:cNvPr id="22" name="TextBox 21">
          <a:extLst>
            <a:ext uri="{FF2B5EF4-FFF2-40B4-BE49-F238E27FC236}">
              <a16:creationId xmlns:a16="http://schemas.microsoft.com/office/drawing/2014/main" id="{06ECAF64-1E82-6E62-ADE1-79EC3100CCA1}"/>
            </a:ext>
          </a:extLst>
        </xdr:cNvPr>
        <xdr:cNvSpPr txBox="1"/>
      </xdr:nvSpPr>
      <xdr:spPr>
        <a:xfrm>
          <a:off x="15109659" y="40105"/>
          <a:ext cx="3037974" cy="50131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solidFill>
                <a:schemeClr val="bg1"/>
              </a:solidFill>
            </a:rPr>
            <a:t>Graph</a:t>
          </a:r>
          <a:r>
            <a:rPr lang="en-IN" sz="1100" b="1" u="sng" baseline="0">
              <a:solidFill>
                <a:schemeClr val="bg1"/>
              </a:solidFill>
            </a:rPr>
            <a:t> Based on AI Type &amp; Average of Estimated_Valuation_Billion_USD</a:t>
          </a:r>
          <a:endParaRPr lang="en-IN" sz="1100" b="1" u="sng">
            <a:solidFill>
              <a:schemeClr val="bg1"/>
            </a:solidFill>
          </a:endParaRPr>
        </a:p>
      </xdr:txBody>
    </xdr:sp>
    <xdr:clientData/>
  </xdr:twoCellAnchor>
  <xdr:twoCellAnchor>
    <xdr:from>
      <xdr:col>0</xdr:col>
      <xdr:colOff>421106</xdr:colOff>
      <xdr:row>4</xdr:row>
      <xdr:rowOff>90237</xdr:rowOff>
    </xdr:from>
    <xdr:to>
      <xdr:col>3</xdr:col>
      <xdr:colOff>90237</xdr:colOff>
      <xdr:row>5</xdr:row>
      <xdr:rowOff>150394</xdr:rowOff>
    </xdr:to>
    <xdr:sp macro="" textlink="">
      <xdr:nvSpPr>
        <xdr:cNvPr id="2" name="TextBox 1">
          <a:extLst>
            <a:ext uri="{FF2B5EF4-FFF2-40B4-BE49-F238E27FC236}">
              <a16:creationId xmlns:a16="http://schemas.microsoft.com/office/drawing/2014/main" id="{2832EA50-B739-2276-D397-88ADB589DA16}"/>
            </a:ext>
          </a:extLst>
        </xdr:cNvPr>
        <xdr:cNvSpPr txBox="1"/>
      </xdr:nvSpPr>
      <xdr:spPr>
        <a:xfrm>
          <a:off x="421106" y="1233237"/>
          <a:ext cx="1503947" cy="240631"/>
        </a:xfrm>
        <a:prstGeom prst="rect">
          <a:avLst/>
        </a:prstGeom>
        <a:solidFill>
          <a:schemeClr val="accent1">
            <a:lumMod val="7500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chemeClr val="bg1"/>
              </a:solidFill>
            </a:rPr>
            <a:t>CONTROLLERS</a:t>
          </a:r>
        </a:p>
      </xdr:txBody>
    </xdr:sp>
    <xdr:clientData/>
  </xdr:twoCellAnchor>
  <xdr:twoCellAnchor editAs="oneCell">
    <xdr:from>
      <xdr:col>11</xdr:col>
      <xdr:colOff>741947</xdr:colOff>
      <xdr:row>8</xdr:row>
      <xdr:rowOff>130342</xdr:rowOff>
    </xdr:from>
    <xdr:to>
      <xdr:col>24</xdr:col>
      <xdr:colOff>521367</xdr:colOff>
      <xdr:row>35</xdr:row>
      <xdr:rowOff>130342</xdr:rowOff>
    </xdr:to>
    <xdr:pic>
      <xdr:nvPicPr>
        <xdr:cNvPr id="5" name="Picture 4">
          <a:extLst>
            <a:ext uri="{FF2B5EF4-FFF2-40B4-BE49-F238E27FC236}">
              <a16:creationId xmlns:a16="http://schemas.microsoft.com/office/drawing/2014/main" id="{418F014E-2BEC-741E-4AA6-A0C87F8246A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7710236" y="1995237"/>
          <a:ext cx="7990973" cy="4872789"/>
        </a:xfrm>
        <a:prstGeom prst="rect">
          <a:avLst/>
        </a:prstGeom>
        <a:effectLst>
          <a:softEdge rad="317500"/>
        </a:effectLst>
      </xdr:spPr>
    </xdr:pic>
    <xdr:clientData/>
  </xdr:twoCellAnchor>
  <xdr:oneCellAnchor>
    <xdr:from>
      <xdr:col>15</xdr:col>
      <xdr:colOff>381000</xdr:colOff>
      <xdr:row>13</xdr:row>
      <xdr:rowOff>90237</xdr:rowOff>
    </xdr:from>
    <xdr:ext cx="3850105" cy="394636"/>
    <xdr:sp macro="" textlink="">
      <xdr:nvSpPr>
        <xdr:cNvPr id="10" name="TextBox 9">
          <a:extLst>
            <a:ext uri="{FF2B5EF4-FFF2-40B4-BE49-F238E27FC236}">
              <a16:creationId xmlns:a16="http://schemas.microsoft.com/office/drawing/2014/main" id="{6CF4794B-2A16-3C7B-3A89-E00F58284909}"/>
            </a:ext>
          </a:extLst>
        </xdr:cNvPr>
        <xdr:cNvSpPr txBox="1"/>
      </xdr:nvSpPr>
      <xdr:spPr>
        <a:xfrm>
          <a:off x="10056395" y="2857500"/>
          <a:ext cx="3850105" cy="39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solidFill>
                <a:schemeClr val="bg1"/>
              </a:solidFill>
            </a:rPr>
            <a:t>The World’s Journey Towards AI</a:t>
          </a:r>
        </a:p>
      </xdr:txBody>
    </xdr:sp>
    <xdr:clientData/>
  </xdr:oneCellAnchor>
  <xdr:twoCellAnchor>
    <xdr:from>
      <xdr:col>23</xdr:col>
      <xdr:colOff>193340</xdr:colOff>
      <xdr:row>2</xdr:row>
      <xdr:rowOff>140368</xdr:rowOff>
    </xdr:from>
    <xdr:to>
      <xdr:col>29</xdr:col>
      <xdr:colOff>370973</xdr:colOff>
      <xdr:row>14</xdr:row>
      <xdr:rowOff>27868</xdr:rowOff>
    </xdr:to>
    <xdr:graphicFrame macro="">
      <xdr:nvGraphicFramePr>
        <xdr:cNvPr id="21" name="Chart 20">
          <a:extLst>
            <a:ext uri="{FF2B5EF4-FFF2-40B4-BE49-F238E27FC236}">
              <a16:creationId xmlns:a16="http://schemas.microsoft.com/office/drawing/2014/main" id="{2B773455-9A54-48E7-8B32-54298979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24</xdr:col>
      <xdr:colOff>471237</xdr:colOff>
      <xdr:row>18</xdr:row>
      <xdr:rowOff>32234</xdr:rowOff>
    </xdr:from>
    <xdr:ext cx="2887578" cy="1782529"/>
    <xdr:sp macro="" textlink="">
      <xdr:nvSpPr>
        <xdr:cNvPr id="13" name="TextBox 12">
          <a:extLst>
            <a:ext uri="{FF2B5EF4-FFF2-40B4-BE49-F238E27FC236}">
              <a16:creationId xmlns:a16="http://schemas.microsoft.com/office/drawing/2014/main" id="{65823E50-8B66-6B90-EF5A-67B8714B1B02}"/>
            </a:ext>
          </a:extLst>
        </xdr:cNvPr>
        <xdr:cNvSpPr txBox="1"/>
      </xdr:nvSpPr>
      <xdr:spPr>
        <a:xfrm>
          <a:off x="15651079" y="3701866"/>
          <a:ext cx="2887578" cy="1782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bg1"/>
              </a:solidFill>
            </a:rPr>
            <a:t>“AI tools are software applications that use artificial intelligence techniques, such as machine learning, natural language processing, and automation, to perform tasks efficiently. They help with data analysis, content creation, decision-making, customer support, and many other functions across industries.”</a:t>
          </a:r>
        </a:p>
        <a:p>
          <a:endParaRPr lang="en-IN" sz="1200">
            <a:solidFill>
              <a:schemeClr val="bg1"/>
            </a:solidFill>
          </a:endParaRPr>
        </a:p>
      </xdr:txBody>
    </xdr:sp>
    <xdr:clientData/>
  </xdr:oneCellAnchor>
  <xdr:oneCellAnchor>
    <xdr:from>
      <xdr:col>26</xdr:col>
      <xdr:colOff>230605</xdr:colOff>
      <xdr:row>16</xdr:row>
      <xdr:rowOff>150395</xdr:rowOff>
    </xdr:from>
    <xdr:ext cx="184731" cy="264560"/>
    <xdr:sp macro="" textlink="">
      <xdr:nvSpPr>
        <xdr:cNvPr id="14" name="TextBox 13">
          <a:extLst>
            <a:ext uri="{FF2B5EF4-FFF2-40B4-BE49-F238E27FC236}">
              <a16:creationId xmlns:a16="http://schemas.microsoft.com/office/drawing/2014/main" id="{4F454CE0-76F3-5622-889E-73AF3C4029D0}"/>
            </a:ext>
          </a:extLst>
        </xdr:cNvPr>
        <xdr:cNvSpPr txBox="1"/>
      </xdr:nvSpPr>
      <xdr:spPr>
        <a:xfrm>
          <a:off x="16633658" y="3459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26</xdr:col>
      <xdr:colOff>601578</xdr:colOff>
      <xdr:row>25</xdr:row>
      <xdr:rowOff>152401</xdr:rowOff>
    </xdr:from>
    <xdr:to>
      <xdr:col>29</xdr:col>
      <xdr:colOff>411078</xdr:colOff>
      <xdr:row>34</xdr:row>
      <xdr:rowOff>172452</xdr:rowOff>
    </xdr:to>
    <xdr:pic>
      <xdr:nvPicPr>
        <xdr:cNvPr id="23" name="Graphic 22" descr="Brain with solid fill">
          <a:extLst>
            <a:ext uri="{FF2B5EF4-FFF2-40B4-BE49-F238E27FC236}">
              <a16:creationId xmlns:a16="http://schemas.microsoft.com/office/drawing/2014/main" id="{B63628DA-72C8-8D63-9FFF-B4AB692F1A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004631" y="5085348"/>
          <a:ext cx="1644315" cy="1644315"/>
        </a:xfrm>
        <a:prstGeom prst="rect">
          <a:avLst/>
        </a:prstGeom>
      </xdr:spPr>
    </xdr:pic>
    <xdr:clientData/>
  </xdr:twoCellAnchor>
  <xdr:twoCellAnchor>
    <xdr:from>
      <xdr:col>21</xdr:col>
      <xdr:colOff>130342</xdr:colOff>
      <xdr:row>3</xdr:row>
      <xdr:rowOff>70185</xdr:rowOff>
    </xdr:from>
    <xdr:to>
      <xdr:col>22</xdr:col>
      <xdr:colOff>340894</xdr:colOff>
      <xdr:row>6</xdr:row>
      <xdr:rowOff>80211</xdr:rowOff>
    </xdr:to>
    <xdr:sp macro="" textlink="">
      <xdr:nvSpPr>
        <xdr:cNvPr id="30" name="Arrow: Left 29">
          <a:extLst>
            <a:ext uri="{FF2B5EF4-FFF2-40B4-BE49-F238E27FC236}">
              <a16:creationId xmlns:a16="http://schemas.microsoft.com/office/drawing/2014/main" id="{41D395ED-3C05-9A9E-4F2A-6FC6B5065C6B}"/>
            </a:ext>
          </a:extLst>
        </xdr:cNvPr>
        <xdr:cNvSpPr/>
      </xdr:nvSpPr>
      <xdr:spPr>
        <a:xfrm>
          <a:off x="13475368" y="1032711"/>
          <a:ext cx="822158" cy="551447"/>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ruti Gangane" refreshedDate="45905.342749074072" createdVersion="8" refreshedVersion="8" minRefreshableVersion="3" recordCount="40" xr:uid="{7A26D6F6-AACD-459D-900B-CDC933D95BF0}">
  <cacheSource type="worksheet">
    <worksheetSource ref="A1:G41" sheet="AI_Tools_List"/>
  </cacheSource>
  <cacheFields count="7">
    <cacheField name="AI Name" numFmtId="0">
      <sharedItems count="40">
        <s v="ChatGPT"/>
        <s v="Claude"/>
        <s v="Gemini"/>
        <s v="Copilot"/>
        <s v="Midjourney"/>
        <s v="DALL·E"/>
        <s v="Stable Diffusion"/>
        <s v="Bard (Old)"/>
        <s v="DeepSeek"/>
        <s v="LLaMA"/>
        <s v="Replika"/>
        <s v="Character.AI"/>
        <s v="YouChat"/>
        <s v="Poe"/>
        <s v="Pi"/>
        <s v="Perplexity"/>
        <s v="Runway ML"/>
        <s v="Synthesia"/>
        <s v="HeyGen"/>
        <s v="Descript"/>
        <s v="ElevenLabs"/>
        <s v="Murf AI"/>
        <s v="Leonardo.Ai"/>
        <s v="Caktus AI"/>
        <s v="Elicit"/>
        <s v="SciSpace"/>
        <s v="Notion AI"/>
        <s v="Jasper"/>
        <s v="Copy.ai"/>
        <s v="Quillbot"/>
        <s v="GrammarlyGO"/>
        <s v="Tome"/>
        <s v="Beautiful.ai"/>
        <s v="Krea AI"/>
        <s v="Pictory"/>
        <s v="Deep Nostalgia"/>
        <s v="Grok"/>
        <s v="Tabnine"/>
        <s v="Blackbox AI"/>
        <s v="Adept ACT-1"/>
      </sharedItems>
    </cacheField>
    <cacheField name="Developer/Company" numFmtId="0">
      <sharedItems count="39">
        <s v="OpenAI"/>
        <s v="Anthropic"/>
        <s v="Google DeepMind"/>
        <s v="Microsoft"/>
        <s v="Midjourney"/>
        <s v="Stability AI"/>
        <s v="Google"/>
        <s v="DeepSeek AI"/>
        <s v="Meta"/>
        <s v="Luka, Inc."/>
        <s v="Character Technologies"/>
        <s v="You.com"/>
        <s v="Quora"/>
        <s v="Inflection AI"/>
        <s v="Perplexity AI"/>
        <s v="Runway"/>
        <s v="Synthesia"/>
        <s v="HeyGen"/>
        <s v="Descript"/>
        <s v="ElevenLabs"/>
        <s v="Murf"/>
        <s v="Leonardo AI"/>
        <s v="Caktus"/>
        <s v="OTTO AI"/>
        <s v="TypeSet"/>
        <s v="Notion"/>
        <s v="Jasper AI"/>
        <s v="Copy.ai"/>
        <s v="Quillbot"/>
        <s v="Grammarly"/>
        <s v="Tome"/>
        <s v="Beautiful.ai"/>
        <s v="Krea"/>
        <s v="Pictory"/>
        <s v="MyHeritage"/>
        <s v="xAI"/>
        <s v="Codota"/>
        <s v="Blackbox AI"/>
        <s v="Adept AI"/>
      </sharedItems>
    </cacheField>
    <cacheField name="Release Year" numFmtId="0">
      <sharedItems containsSemiMixedTypes="0" containsString="0" containsNumber="1" containsInteger="1" minValue="2017" maxValue="2024"/>
    </cacheField>
    <cacheField name="AI Type" numFmtId="0">
      <sharedItems count="16">
        <s v="Chatbot"/>
        <s v="Coding Assistant"/>
        <s v="Image Generator"/>
        <s v="LLM"/>
        <s v="Chatbot Hub"/>
        <s v="Video Generator"/>
        <s v="Audio &amp; Video"/>
        <s v="Audio Generator"/>
        <s v="Education"/>
        <s v="Research Assistant"/>
        <s v="Productivity"/>
        <s v="Marketing"/>
        <s v="Writing Assistant"/>
        <s v="Presentation Tool"/>
        <s v="Image Animator"/>
        <s v="Action Agent"/>
      </sharedItems>
    </cacheField>
    <cacheField name="Main Use Case" numFmtId="0">
      <sharedItems count="31">
        <s v="Text Generation"/>
        <s v="Code Completion"/>
        <s v="Art Generation"/>
        <s v="Text + Code Generation"/>
        <s v="Research"/>
        <s v="Companion"/>
        <s v="Roleplay &amp; Companion"/>
        <s v="Search Assistant"/>
        <s v="Multi-AI Access"/>
        <s v="Emotional Support"/>
        <s v="Search + QA"/>
        <s v="Video Editing"/>
        <s v="AI Avatars"/>
        <s v="Editing &amp; Voice Clone"/>
        <s v="Voice Cloning"/>
        <s v="Voiceover"/>
        <s v="Game Art"/>
        <s v="Homework Help"/>
        <s v="Literature Review"/>
        <s v="Scientific QA"/>
        <s v="Document Help"/>
        <s v="Copywriting"/>
        <s v="Paraphrasing"/>
        <s v="Writing Help"/>
        <s v="AI Slides"/>
        <s v="Smart Slides"/>
        <s v="AI Design"/>
        <s v="Text-to-Video"/>
        <s v="Old Photo Animation"/>
        <s v="Code Suggestion"/>
        <s v="UI Automation"/>
      </sharedItems>
    </cacheField>
    <cacheField name="Popularity Score (1-10)" numFmtId="0">
      <sharedItems containsSemiMixedTypes="0" containsString="0" containsNumber="1" minValue="5.5" maxValue="10" count="9">
        <n v="10"/>
        <n v="8.5"/>
        <n v="8"/>
        <n v="9"/>
        <n v="7.5"/>
        <n v="7"/>
        <n v="6.5"/>
        <n v="6"/>
        <n v="5.5"/>
      </sharedItems>
    </cacheField>
    <cacheField name="Estimated_Valuation_Billion_USD" numFmtId="0">
      <sharedItems containsMixedTypes="1" containsNumber="1" minValue="0.1" maxValue="85" count="17">
        <n v="85"/>
        <n v="4.5"/>
        <n v="15"/>
        <s v="NaN"/>
        <n v="1.5"/>
        <n v="4"/>
        <n v="0.1"/>
        <n v="10"/>
        <n v="0.3"/>
        <n v="1.2"/>
        <n v="1"/>
        <n v="0.7"/>
        <n v="2"/>
        <n v="1.75"/>
        <n v="0.4"/>
        <n v="1.35"/>
        <n v="0.5"/>
      </sharedItems>
    </cacheField>
  </cacheFields>
  <extLst>
    <ext xmlns:x14="http://schemas.microsoft.com/office/spreadsheetml/2009/9/main" uri="{725AE2AE-9491-48be-B2B4-4EB974FC3084}">
      <x14:pivotCacheDefinition pivotCacheId="553749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ruti Gangane" refreshedDate="46057.311203472222" createdVersion="8" refreshedVersion="8" minRefreshableVersion="3" recordCount="39" xr:uid="{2E2B85A8-761A-40E1-9926-147084CA986F}">
  <cacheSource type="worksheet">
    <worksheetSource ref="A2:G41" sheet="AI_Tools_List"/>
  </cacheSource>
  <cacheFields count="7">
    <cacheField name="ChatGPT" numFmtId="0">
      <sharedItems/>
    </cacheField>
    <cacheField name="OpenAI" numFmtId="0">
      <sharedItems/>
    </cacheField>
    <cacheField name="2022" numFmtId="0">
      <sharedItems containsSemiMixedTypes="0" containsString="0" containsNumber="1" containsInteger="1" minValue="2017" maxValue="2024"/>
    </cacheField>
    <cacheField name="Chatbot" numFmtId="0">
      <sharedItems count="16">
        <s v="Chatbot"/>
        <s v="Coding Assistant"/>
        <s v="Image Generator"/>
        <s v="LLM"/>
        <s v="Chatbot Hub"/>
        <s v="Video Generator"/>
        <s v="Audio &amp; Video"/>
        <s v="Audio Generator"/>
        <s v="Education"/>
        <s v="Research Assistant"/>
        <s v="Productivity"/>
        <s v="Marketing"/>
        <s v="Writing Assistant"/>
        <s v="Presentation Tool"/>
        <s v="Image Animator"/>
        <s v="Action Agent"/>
      </sharedItems>
    </cacheField>
    <cacheField name="Text Generation" numFmtId="0">
      <sharedItems count="31">
        <s v="Text Generation"/>
        <s v="Code Completion"/>
        <s v="Art Generation"/>
        <s v="Text + Code Generation"/>
        <s v="Research"/>
        <s v="Companion"/>
        <s v="Roleplay &amp; Companion"/>
        <s v="Search Assistant"/>
        <s v="Multi-AI Access"/>
        <s v="Emotional Support"/>
        <s v="Search + QA"/>
        <s v="Video Editing"/>
        <s v="AI Avatars"/>
        <s v="Editing &amp; Voice Clone"/>
        <s v="Voice Cloning"/>
        <s v="Voiceover"/>
        <s v="Game Art"/>
        <s v="Homework Help"/>
        <s v="Literature Review"/>
        <s v="Scientific QA"/>
        <s v="Document Help"/>
        <s v="Copywriting"/>
        <s v="Paraphrasing"/>
        <s v="Writing Help"/>
        <s v="AI Slides"/>
        <s v="Smart Slides"/>
        <s v="AI Design"/>
        <s v="Text-to-Video"/>
        <s v="Old Photo Animation"/>
        <s v="Code Suggestion"/>
        <s v="UI Automation"/>
      </sharedItems>
    </cacheField>
    <cacheField name="10" numFmtId="0">
      <sharedItems containsSemiMixedTypes="0" containsString="0" containsNumber="1" minValue="5.5" maxValue="9"/>
    </cacheField>
    <cacheField name="85" numFmtId="0">
      <sharedItems containsMixedTypes="1" containsNumber="1" minValue="0.1" maxValue="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2022"/>
    <x v="0"/>
    <x v="0"/>
    <x v="0"/>
    <x v="0"/>
  </r>
  <r>
    <x v="1"/>
    <x v="1"/>
    <n v="2023"/>
    <x v="0"/>
    <x v="0"/>
    <x v="1"/>
    <x v="1"/>
  </r>
  <r>
    <x v="2"/>
    <x v="2"/>
    <n v="2023"/>
    <x v="0"/>
    <x v="0"/>
    <x v="1"/>
    <x v="2"/>
  </r>
  <r>
    <x v="3"/>
    <x v="3"/>
    <n v="2023"/>
    <x v="1"/>
    <x v="1"/>
    <x v="2"/>
    <x v="3"/>
  </r>
  <r>
    <x v="4"/>
    <x v="4"/>
    <n v="2022"/>
    <x v="2"/>
    <x v="2"/>
    <x v="3"/>
    <x v="4"/>
  </r>
  <r>
    <x v="5"/>
    <x v="0"/>
    <n v="2021"/>
    <x v="2"/>
    <x v="2"/>
    <x v="1"/>
    <x v="0"/>
  </r>
  <r>
    <x v="6"/>
    <x v="5"/>
    <n v="2022"/>
    <x v="2"/>
    <x v="2"/>
    <x v="2"/>
    <x v="5"/>
  </r>
  <r>
    <x v="7"/>
    <x v="6"/>
    <n v="2023"/>
    <x v="0"/>
    <x v="0"/>
    <x v="4"/>
    <x v="2"/>
  </r>
  <r>
    <x v="8"/>
    <x v="7"/>
    <n v="2024"/>
    <x v="0"/>
    <x v="3"/>
    <x v="4"/>
    <x v="6"/>
  </r>
  <r>
    <x v="9"/>
    <x v="8"/>
    <n v="2023"/>
    <x v="3"/>
    <x v="4"/>
    <x v="5"/>
    <x v="7"/>
  </r>
  <r>
    <x v="10"/>
    <x v="9"/>
    <n v="2017"/>
    <x v="0"/>
    <x v="5"/>
    <x v="6"/>
    <x v="8"/>
  </r>
  <r>
    <x v="11"/>
    <x v="10"/>
    <n v="2022"/>
    <x v="0"/>
    <x v="6"/>
    <x v="4"/>
    <x v="9"/>
  </r>
  <r>
    <x v="12"/>
    <x v="11"/>
    <n v="2022"/>
    <x v="0"/>
    <x v="7"/>
    <x v="6"/>
    <x v="6"/>
  </r>
  <r>
    <x v="13"/>
    <x v="12"/>
    <n v="2023"/>
    <x v="4"/>
    <x v="8"/>
    <x v="7"/>
    <x v="10"/>
  </r>
  <r>
    <x v="14"/>
    <x v="13"/>
    <n v="2023"/>
    <x v="0"/>
    <x v="9"/>
    <x v="6"/>
    <x v="10"/>
  </r>
  <r>
    <x v="15"/>
    <x v="14"/>
    <n v="2023"/>
    <x v="0"/>
    <x v="10"/>
    <x v="5"/>
    <x v="6"/>
  </r>
  <r>
    <x v="16"/>
    <x v="15"/>
    <n v="2021"/>
    <x v="5"/>
    <x v="11"/>
    <x v="4"/>
    <x v="10"/>
  </r>
  <r>
    <x v="17"/>
    <x v="16"/>
    <n v="2020"/>
    <x v="5"/>
    <x v="12"/>
    <x v="5"/>
    <x v="10"/>
  </r>
  <r>
    <x v="18"/>
    <x v="17"/>
    <n v="2022"/>
    <x v="5"/>
    <x v="12"/>
    <x v="6"/>
    <x v="6"/>
  </r>
  <r>
    <x v="19"/>
    <x v="18"/>
    <n v="2020"/>
    <x v="6"/>
    <x v="13"/>
    <x v="6"/>
    <x v="10"/>
  </r>
  <r>
    <x v="20"/>
    <x v="19"/>
    <n v="2022"/>
    <x v="7"/>
    <x v="14"/>
    <x v="4"/>
    <x v="11"/>
  </r>
  <r>
    <x v="21"/>
    <x v="20"/>
    <n v="2021"/>
    <x v="7"/>
    <x v="15"/>
    <x v="6"/>
    <x v="6"/>
  </r>
  <r>
    <x v="22"/>
    <x v="21"/>
    <n v="2023"/>
    <x v="2"/>
    <x v="16"/>
    <x v="6"/>
    <x v="6"/>
  </r>
  <r>
    <x v="23"/>
    <x v="22"/>
    <n v="2023"/>
    <x v="8"/>
    <x v="17"/>
    <x v="7"/>
    <x v="6"/>
  </r>
  <r>
    <x v="24"/>
    <x v="23"/>
    <n v="2022"/>
    <x v="9"/>
    <x v="18"/>
    <x v="7"/>
    <x v="6"/>
  </r>
  <r>
    <x v="25"/>
    <x v="24"/>
    <n v="2022"/>
    <x v="9"/>
    <x v="19"/>
    <x v="7"/>
    <x v="6"/>
  </r>
  <r>
    <x v="26"/>
    <x v="25"/>
    <n v="2023"/>
    <x v="10"/>
    <x v="20"/>
    <x v="5"/>
    <x v="12"/>
  </r>
  <r>
    <x v="27"/>
    <x v="26"/>
    <n v="2021"/>
    <x v="11"/>
    <x v="21"/>
    <x v="6"/>
    <x v="13"/>
  </r>
  <r>
    <x v="28"/>
    <x v="27"/>
    <n v="2021"/>
    <x v="11"/>
    <x v="21"/>
    <x v="7"/>
    <x v="14"/>
  </r>
  <r>
    <x v="29"/>
    <x v="28"/>
    <n v="2017"/>
    <x v="12"/>
    <x v="22"/>
    <x v="5"/>
    <x v="8"/>
  </r>
  <r>
    <x v="30"/>
    <x v="29"/>
    <n v="2023"/>
    <x v="12"/>
    <x v="23"/>
    <x v="5"/>
    <x v="15"/>
  </r>
  <r>
    <x v="31"/>
    <x v="30"/>
    <n v="2022"/>
    <x v="13"/>
    <x v="24"/>
    <x v="6"/>
    <x v="6"/>
  </r>
  <r>
    <x v="32"/>
    <x v="31"/>
    <n v="2021"/>
    <x v="13"/>
    <x v="25"/>
    <x v="7"/>
    <x v="6"/>
  </r>
  <r>
    <x v="33"/>
    <x v="32"/>
    <n v="2023"/>
    <x v="2"/>
    <x v="26"/>
    <x v="6"/>
    <x v="6"/>
  </r>
  <r>
    <x v="34"/>
    <x v="33"/>
    <n v="2021"/>
    <x v="5"/>
    <x v="27"/>
    <x v="7"/>
    <x v="6"/>
  </r>
  <r>
    <x v="35"/>
    <x v="34"/>
    <n v="2021"/>
    <x v="14"/>
    <x v="28"/>
    <x v="8"/>
    <x v="16"/>
  </r>
  <r>
    <x v="36"/>
    <x v="35"/>
    <n v="2023"/>
    <x v="0"/>
    <x v="0"/>
    <x v="6"/>
    <x v="2"/>
  </r>
  <r>
    <x v="37"/>
    <x v="36"/>
    <n v="2020"/>
    <x v="1"/>
    <x v="1"/>
    <x v="6"/>
    <x v="6"/>
  </r>
  <r>
    <x v="38"/>
    <x v="37"/>
    <n v="2022"/>
    <x v="1"/>
    <x v="29"/>
    <x v="6"/>
    <x v="6"/>
  </r>
  <r>
    <x v="39"/>
    <x v="38"/>
    <n v="2023"/>
    <x v="15"/>
    <x v="30"/>
    <x v="7"/>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s v="Claude"/>
    <s v="Anthropic"/>
    <n v="2023"/>
    <x v="0"/>
    <x v="0"/>
    <n v="8.5"/>
    <n v="4.5"/>
  </r>
  <r>
    <s v="Gemini"/>
    <s v="Google DeepMind"/>
    <n v="2023"/>
    <x v="0"/>
    <x v="0"/>
    <n v="8.5"/>
    <n v="15"/>
  </r>
  <r>
    <s v="Copilot"/>
    <s v="Microsoft"/>
    <n v="2023"/>
    <x v="1"/>
    <x v="1"/>
    <n v="8"/>
    <s v="NaN"/>
  </r>
  <r>
    <s v="Midjourney"/>
    <s v="Midjourney"/>
    <n v="2022"/>
    <x v="2"/>
    <x v="2"/>
    <n v="9"/>
    <n v="1.5"/>
  </r>
  <r>
    <s v="DALL·E"/>
    <s v="OpenAI"/>
    <n v="2021"/>
    <x v="2"/>
    <x v="2"/>
    <n v="8.5"/>
    <n v="85"/>
  </r>
  <r>
    <s v="Stable Diffusion"/>
    <s v="Stability AI"/>
    <n v="2022"/>
    <x v="2"/>
    <x v="2"/>
    <n v="8"/>
    <n v="4"/>
  </r>
  <r>
    <s v="Bard (Old)"/>
    <s v="Google"/>
    <n v="2023"/>
    <x v="0"/>
    <x v="0"/>
    <n v="7.5"/>
    <n v="15"/>
  </r>
  <r>
    <s v="DeepSeek"/>
    <s v="DeepSeek AI"/>
    <n v="2024"/>
    <x v="0"/>
    <x v="3"/>
    <n v="7.5"/>
    <n v="0.1"/>
  </r>
  <r>
    <s v="LLaMA"/>
    <s v="Meta"/>
    <n v="2023"/>
    <x v="3"/>
    <x v="4"/>
    <n v="7"/>
    <n v="10"/>
  </r>
  <r>
    <s v="Replika"/>
    <s v="Luka, Inc."/>
    <n v="2017"/>
    <x v="0"/>
    <x v="5"/>
    <n v="6.5"/>
    <n v="0.3"/>
  </r>
  <r>
    <s v="Character.AI"/>
    <s v="Character Technologies"/>
    <n v="2022"/>
    <x v="0"/>
    <x v="6"/>
    <n v="7.5"/>
    <n v="1.2"/>
  </r>
  <r>
    <s v="YouChat"/>
    <s v="You.com"/>
    <n v="2022"/>
    <x v="0"/>
    <x v="7"/>
    <n v="6.5"/>
    <n v="0.1"/>
  </r>
  <r>
    <s v="Poe"/>
    <s v="Quora"/>
    <n v="2023"/>
    <x v="4"/>
    <x v="8"/>
    <n v="6"/>
    <n v="1"/>
  </r>
  <r>
    <s v="Pi"/>
    <s v="Inflection AI"/>
    <n v="2023"/>
    <x v="0"/>
    <x v="9"/>
    <n v="6.5"/>
    <n v="1"/>
  </r>
  <r>
    <s v="Perplexity"/>
    <s v="Perplexity AI"/>
    <n v="2023"/>
    <x v="0"/>
    <x v="10"/>
    <n v="7"/>
    <n v="0.1"/>
  </r>
  <r>
    <s v="Runway ML"/>
    <s v="Runway"/>
    <n v="2021"/>
    <x v="5"/>
    <x v="11"/>
    <n v="7.5"/>
    <n v="1"/>
  </r>
  <r>
    <s v="Synthesia"/>
    <s v="Synthesia"/>
    <n v="2020"/>
    <x v="5"/>
    <x v="12"/>
    <n v="7"/>
    <n v="1"/>
  </r>
  <r>
    <s v="HeyGen"/>
    <s v="HeyGen"/>
    <n v="2022"/>
    <x v="5"/>
    <x v="12"/>
    <n v="6.5"/>
    <n v="0.1"/>
  </r>
  <r>
    <s v="Descript"/>
    <s v="Descript"/>
    <n v="2020"/>
    <x v="6"/>
    <x v="13"/>
    <n v="6.5"/>
    <n v="1"/>
  </r>
  <r>
    <s v="ElevenLabs"/>
    <s v="ElevenLabs"/>
    <n v="2022"/>
    <x v="7"/>
    <x v="14"/>
    <n v="7.5"/>
    <n v="0.7"/>
  </r>
  <r>
    <s v="Murf AI"/>
    <s v="Murf"/>
    <n v="2021"/>
    <x v="7"/>
    <x v="15"/>
    <n v="6.5"/>
    <n v="0.1"/>
  </r>
  <r>
    <s v="Leonardo.Ai"/>
    <s v="Leonardo AI"/>
    <n v="2023"/>
    <x v="2"/>
    <x v="16"/>
    <n v="6.5"/>
    <n v="0.1"/>
  </r>
  <r>
    <s v="Caktus AI"/>
    <s v="Caktus"/>
    <n v="2023"/>
    <x v="8"/>
    <x v="17"/>
    <n v="6"/>
    <n v="0.1"/>
  </r>
  <r>
    <s v="Elicit"/>
    <s v="OTTO AI"/>
    <n v="2022"/>
    <x v="9"/>
    <x v="18"/>
    <n v="6"/>
    <n v="0.1"/>
  </r>
  <r>
    <s v="SciSpace"/>
    <s v="TypeSet"/>
    <n v="2022"/>
    <x v="9"/>
    <x v="19"/>
    <n v="6"/>
    <n v="0.1"/>
  </r>
  <r>
    <s v="Notion AI"/>
    <s v="Notion"/>
    <n v="2023"/>
    <x v="10"/>
    <x v="20"/>
    <n v="7"/>
    <n v="2"/>
  </r>
  <r>
    <s v="Jasper"/>
    <s v="Jasper AI"/>
    <n v="2021"/>
    <x v="11"/>
    <x v="21"/>
    <n v="6.5"/>
    <n v="1.75"/>
  </r>
  <r>
    <s v="Copy.ai"/>
    <s v="Copy.ai"/>
    <n v="2021"/>
    <x v="11"/>
    <x v="21"/>
    <n v="6"/>
    <n v="0.4"/>
  </r>
  <r>
    <s v="Quillbot"/>
    <s v="Quillbot"/>
    <n v="2017"/>
    <x v="12"/>
    <x v="22"/>
    <n v="7"/>
    <n v="0.3"/>
  </r>
  <r>
    <s v="GrammarlyGO"/>
    <s v="Grammarly"/>
    <n v="2023"/>
    <x v="12"/>
    <x v="23"/>
    <n v="7"/>
    <n v="1.35"/>
  </r>
  <r>
    <s v="Tome"/>
    <s v="Tome"/>
    <n v="2022"/>
    <x v="13"/>
    <x v="24"/>
    <n v="6.5"/>
    <n v="0.1"/>
  </r>
  <r>
    <s v="Beautiful.ai"/>
    <s v="Beautiful.ai"/>
    <n v="2021"/>
    <x v="13"/>
    <x v="25"/>
    <n v="6"/>
    <n v="0.1"/>
  </r>
  <r>
    <s v="Krea AI"/>
    <s v="Krea"/>
    <n v="2023"/>
    <x v="2"/>
    <x v="26"/>
    <n v="6.5"/>
    <n v="0.1"/>
  </r>
  <r>
    <s v="Pictory"/>
    <s v="Pictory"/>
    <n v="2021"/>
    <x v="5"/>
    <x v="27"/>
    <n v="6"/>
    <n v="0.1"/>
  </r>
  <r>
    <s v="Deep Nostalgia"/>
    <s v="MyHeritage"/>
    <n v="2021"/>
    <x v="14"/>
    <x v="28"/>
    <n v="5.5"/>
    <n v="0.5"/>
  </r>
  <r>
    <s v="Grok"/>
    <s v="xAI"/>
    <n v="2023"/>
    <x v="0"/>
    <x v="0"/>
    <n v="6.5"/>
    <n v="15"/>
  </r>
  <r>
    <s v="Tabnine"/>
    <s v="Codota"/>
    <n v="2020"/>
    <x v="1"/>
    <x v="1"/>
    <n v="6.5"/>
    <n v="0.1"/>
  </r>
  <r>
    <s v="Blackbox AI"/>
    <s v="Blackbox AI"/>
    <n v="2022"/>
    <x v="1"/>
    <x v="29"/>
    <n v="6.5"/>
    <n v="0.1"/>
  </r>
  <r>
    <s v="Adept ACT-1"/>
    <s v="Adept AI"/>
    <n v="2023"/>
    <x v="15"/>
    <x v="30"/>
    <n v="6"/>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199A5-7BA6-4BE3-A65B-35746A36B20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N8" firstHeaderRow="1" firstDataRow="1" firstDataCol="1" rowPageCount="1" colPageCount="1"/>
  <pivotFields count="7">
    <pivotField showAll="0"/>
    <pivotField showAll="0"/>
    <pivotField dataField="1" showAll="0"/>
    <pivotField axis="axisRow" showAll="0">
      <items count="17">
        <item x="15"/>
        <item x="6"/>
        <item x="7"/>
        <item x="0"/>
        <item x="4"/>
        <item x="1"/>
        <item x="8"/>
        <item x="14"/>
        <item x="2"/>
        <item x="3"/>
        <item x="11"/>
        <item x="13"/>
        <item x="10"/>
        <item x="9"/>
        <item x="5"/>
        <item x="12"/>
        <item t="default"/>
      </items>
    </pivotField>
    <pivotField axis="axisPage" showAll="0">
      <items count="32">
        <item x="12"/>
        <item x="26"/>
        <item x="24"/>
        <item x="2"/>
        <item x="1"/>
        <item x="29"/>
        <item x="5"/>
        <item x="21"/>
        <item x="20"/>
        <item x="13"/>
        <item x="9"/>
        <item x="16"/>
        <item x="17"/>
        <item x="18"/>
        <item x="8"/>
        <item x="28"/>
        <item x="22"/>
        <item x="4"/>
        <item x="6"/>
        <item x="19"/>
        <item x="10"/>
        <item x="7"/>
        <item x="25"/>
        <item x="3"/>
        <item x="0"/>
        <item x="27"/>
        <item x="30"/>
        <item x="11"/>
        <item x="14"/>
        <item x="15"/>
        <item x="23"/>
        <item t="default"/>
      </items>
    </pivotField>
    <pivotField showAll="0"/>
    <pivotField showAll="0"/>
  </pivotFields>
  <rowFields count="1">
    <field x="3"/>
  </rowFields>
  <rowItems count="2">
    <i>
      <x v="8"/>
    </i>
    <i t="grand">
      <x/>
    </i>
  </rowItems>
  <colItems count="1">
    <i/>
  </colItems>
  <pageFields count="1">
    <pageField fld="4" item="3" hier="-1"/>
  </pageFields>
  <dataFields count="1">
    <dataField name="Sum of 2022"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AC727-6C4A-44B4-8F1E-F61C467F39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7" firstHeaderRow="0" firstDataRow="1" firstDataCol="1"/>
  <pivotFields count="7">
    <pivotField axis="axisRow" showAll="0">
      <items count="41">
        <item x="39"/>
        <item x="7"/>
        <item x="32"/>
        <item x="38"/>
        <item x="23"/>
        <item x="11"/>
        <item x="0"/>
        <item x="1"/>
        <item x="3"/>
        <item x="28"/>
        <item x="5"/>
        <item x="35"/>
        <item x="8"/>
        <item x="19"/>
        <item x="20"/>
        <item x="24"/>
        <item x="2"/>
        <item x="30"/>
        <item x="36"/>
        <item x="18"/>
        <item x="27"/>
        <item x="33"/>
        <item x="22"/>
        <item x="9"/>
        <item x="4"/>
        <item x="21"/>
        <item x="26"/>
        <item x="15"/>
        <item x="14"/>
        <item x="34"/>
        <item x="13"/>
        <item x="29"/>
        <item x="10"/>
        <item x="16"/>
        <item x="25"/>
        <item x="6"/>
        <item x="17"/>
        <item x="37"/>
        <item x="31"/>
        <item x="12"/>
        <item t="default"/>
      </items>
    </pivotField>
    <pivotField showAll="0">
      <items count="40">
        <item x="38"/>
        <item x="1"/>
        <item x="31"/>
        <item x="37"/>
        <item x="22"/>
        <item x="10"/>
        <item x="36"/>
        <item x="27"/>
        <item x="7"/>
        <item x="18"/>
        <item x="19"/>
        <item x="6"/>
        <item x="2"/>
        <item x="29"/>
        <item x="17"/>
        <item x="13"/>
        <item x="26"/>
        <item x="32"/>
        <item x="21"/>
        <item x="9"/>
        <item x="8"/>
        <item x="3"/>
        <item x="4"/>
        <item x="20"/>
        <item x="34"/>
        <item x="25"/>
        <item x="0"/>
        <item x="23"/>
        <item x="14"/>
        <item x="33"/>
        <item x="28"/>
        <item x="12"/>
        <item x="15"/>
        <item x="5"/>
        <item x="16"/>
        <item x="30"/>
        <item x="24"/>
        <item x="35"/>
        <item x="11"/>
        <item t="default"/>
      </items>
    </pivotField>
    <pivotField dataField="1" showAll="0"/>
    <pivotField showAll="0">
      <items count="17">
        <item x="15"/>
        <item x="6"/>
        <item x="7"/>
        <item x="0"/>
        <item x="4"/>
        <item x="1"/>
        <item x="8"/>
        <item x="14"/>
        <item x="2"/>
        <item x="3"/>
        <item x="11"/>
        <item x="13"/>
        <item x="10"/>
        <item x="9"/>
        <item x="5"/>
        <item x="12"/>
        <item t="default"/>
      </items>
    </pivotField>
    <pivotField showAll="0"/>
    <pivotField dataField="1" showAll="0">
      <items count="10">
        <item h="1" x="8"/>
        <item h="1" x="7"/>
        <item x="6"/>
        <item h="1" x="5"/>
        <item h="1" x="4"/>
        <item h="1" x="2"/>
        <item h="1" x="1"/>
        <item h="1" x="3"/>
        <item h="1" x="0"/>
        <item t="default"/>
      </items>
    </pivotField>
    <pivotField showAll="0"/>
  </pivotFields>
  <rowFields count="1">
    <field x="0"/>
  </rowFields>
  <rowItems count="14">
    <i>
      <x v="3"/>
    </i>
    <i>
      <x v="13"/>
    </i>
    <i>
      <x v="18"/>
    </i>
    <i>
      <x v="19"/>
    </i>
    <i>
      <x v="20"/>
    </i>
    <i>
      <x v="21"/>
    </i>
    <i>
      <x v="22"/>
    </i>
    <i>
      <x v="25"/>
    </i>
    <i>
      <x v="28"/>
    </i>
    <i>
      <x v="32"/>
    </i>
    <i>
      <x v="37"/>
    </i>
    <i>
      <x v="38"/>
    </i>
    <i>
      <x v="39"/>
    </i>
    <i t="grand">
      <x/>
    </i>
  </rowItems>
  <colFields count="1">
    <field x="-2"/>
  </colFields>
  <colItems count="2">
    <i>
      <x/>
    </i>
    <i i="1">
      <x v="1"/>
    </i>
  </colItems>
  <dataFields count="2">
    <dataField name="Sum of Release Year" fld="2" baseField="0" baseItem="0"/>
    <dataField name="Average of Popularity Score (1-10)" fld="5"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1744F-DB4F-4829-9573-F321685AB5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rowHeaderCaption="ujn ">
  <location ref="D47:E49" firstHeaderRow="1" firstDataRow="1" firstDataCol="1"/>
  <pivotFields count="7">
    <pivotField showAll="0"/>
    <pivotField showAll="0">
      <items count="40">
        <item h="1" x="38"/>
        <item h="1" x="1"/>
        <item h="1" x="31"/>
        <item h="1" x="37"/>
        <item h="1" x="22"/>
        <item h="1" x="10"/>
        <item h="1" x="36"/>
        <item h="1" x="27"/>
        <item h="1" x="7"/>
        <item h="1" x="18"/>
        <item h="1" x="19"/>
        <item h="1" x="6"/>
        <item h="1" x="2"/>
        <item h="1" x="29"/>
        <item h="1" x="17"/>
        <item h="1" x="13"/>
        <item h="1" x="26"/>
        <item h="1" x="32"/>
        <item h="1" x="21"/>
        <item h="1" x="9"/>
        <item h="1" x="8"/>
        <item h="1" x="3"/>
        <item h="1" x="4"/>
        <item h="1" x="20"/>
        <item h="1" x="34"/>
        <item h="1" x="25"/>
        <item h="1" x="0"/>
        <item h="1" x="23"/>
        <item h="1" x="14"/>
        <item h="1" x="33"/>
        <item h="1" x="28"/>
        <item h="1" x="12"/>
        <item h="1" x="15"/>
        <item h="1" x="5"/>
        <item h="1" x="16"/>
        <item h="1" x="30"/>
        <item x="24"/>
        <item h="1" x="35"/>
        <item h="1" x="11"/>
        <item t="default"/>
      </items>
    </pivotField>
    <pivotField showAll="0"/>
    <pivotField axis="axisRow" showAll="0">
      <items count="17">
        <item x="15"/>
        <item x="6"/>
        <item x="7"/>
        <item x="0"/>
        <item x="4"/>
        <item x="1"/>
        <item x="8"/>
        <item x="14"/>
        <item x="2"/>
        <item x="3"/>
        <item x="11"/>
        <item x="13"/>
        <item x="10"/>
        <item x="9"/>
        <item x="5"/>
        <item x="12"/>
        <item t="default"/>
      </items>
    </pivotField>
    <pivotField showAll="0">
      <items count="32">
        <item x="12"/>
        <item x="26"/>
        <item x="24"/>
        <item x="2"/>
        <item x="1"/>
        <item x="29"/>
        <item x="5"/>
        <item x="21"/>
        <item x="20"/>
        <item x="13"/>
        <item x="9"/>
        <item x="16"/>
        <item x="17"/>
        <item x="18"/>
        <item x="8"/>
        <item x="28"/>
        <item x="22"/>
        <item x="4"/>
        <item x="6"/>
        <item x="19"/>
        <item x="10"/>
        <item x="7"/>
        <item x="25"/>
        <item x="3"/>
        <item x="0"/>
        <item x="27"/>
        <item x="30"/>
        <item x="11"/>
        <item x="14"/>
        <item x="15"/>
        <item x="23"/>
        <item t="default"/>
      </items>
    </pivotField>
    <pivotField showAll="0"/>
    <pivotField dataField="1" showAll="0">
      <items count="18">
        <item x="6"/>
        <item x="8"/>
        <item x="14"/>
        <item x="16"/>
        <item x="11"/>
        <item x="10"/>
        <item x="9"/>
        <item x="15"/>
        <item x="4"/>
        <item x="13"/>
        <item x="12"/>
        <item x="5"/>
        <item x="1"/>
        <item x="7"/>
        <item x="2"/>
        <item x="0"/>
        <item x="3"/>
        <item t="default"/>
      </items>
    </pivotField>
  </pivotFields>
  <rowFields count="1">
    <field x="3"/>
  </rowFields>
  <rowItems count="2">
    <i>
      <x v="13"/>
    </i>
    <i t="grand">
      <x/>
    </i>
  </rowItems>
  <colItems count="1">
    <i/>
  </colItems>
  <dataFields count="1">
    <dataField name="Average of Estimated_Valuation_Billion_USD" fld="6" subtotal="average" baseField="3" baseItem="0"/>
  </dataFields>
  <chartFormats count="21">
    <chartFormat chart="101" format="0" series="1">
      <pivotArea type="data" outline="0" fieldPosition="0">
        <references count="1">
          <reference field="4294967294" count="1" selected="0">
            <x v="0"/>
          </reference>
        </references>
      </pivotArea>
    </chartFormat>
    <chartFormat chart="102" format="1" series="1">
      <pivotArea type="data" outline="0" fieldPosition="0">
        <references count="1">
          <reference field="4294967294" count="1" selected="0">
            <x v="0"/>
          </reference>
        </references>
      </pivotArea>
    </chartFormat>
    <chartFormat chart="103" format="2" series="1">
      <pivotArea type="data" outline="0" fieldPosition="0">
        <references count="1">
          <reference field="4294967294" count="1" selected="0">
            <x v="0"/>
          </reference>
        </references>
      </pivotArea>
    </chartFormat>
    <chartFormat chart="107" format="4" series="1">
      <pivotArea type="data" outline="0" fieldPosition="0">
        <references count="1">
          <reference field="4294967294" count="1" selected="0">
            <x v="0"/>
          </reference>
        </references>
      </pivotArea>
    </chartFormat>
    <chartFormat chart="111" format="4" series="1">
      <pivotArea type="data" outline="0" fieldPosition="0">
        <references count="1">
          <reference field="4294967294" count="1" selected="0">
            <x v="0"/>
          </reference>
        </references>
      </pivotArea>
    </chartFormat>
    <chartFormat chart="111" format="5">
      <pivotArea type="data" outline="0" fieldPosition="0">
        <references count="2">
          <reference field="4294967294" count="1" selected="0">
            <x v="0"/>
          </reference>
          <reference field="3" count="1" selected="0">
            <x v="0"/>
          </reference>
        </references>
      </pivotArea>
    </chartFormat>
    <chartFormat chart="111" format="6">
      <pivotArea type="data" outline="0" fieldPosition="0">
        <references count="2">
          <reference field="4294967294" count="1" selected="0">
            <x v="0"/>
          </reference>
          <reference field="3" count="1" selected="0">
            <x v="1"/>
          </reference>
        </references>
      </pivotArea>
    </chartFormat>
    <chartFormat chart="111" format="7">
      <pivotArea type="data" outline="0" fieldPosition="0">
        <references count="2">
          <reference field="4294967294" count="1" selected="0">
            <x v="0"/>
          </reference>
          <reference field="3" count="1" selected="0">
            <x v="2"/>
          </reference>
        </references>
      </pivotArea>
    </chartFormat>
    <chartFormat chart="111" format="8">
      <pivotArea type="data" outline="0" fieldPosition="0">
        <references count="2">
          <reference field="4294967294" count="1" selected="0">
            <x v="0"/>
          </reference>
          <reference field="3" count="1" selected="0">
            <x v="3"/>
          </reference>
        </references>
      </pivotArea>
    </chartFormat>
    <chartFormat chart="111" format="9">
      <pivotArea type="data" outline="0" fieldPosition="0">
        <references count="2">
          <reference field="4294967294" count="1" selected="0">
            <x v="0"/>
          </reference>
          <reference field="3" count="1" selected="0">
            <x v="4"/>
          </reference>
        </references>
      </pivotArea>
    </chartFormat>
    <chartFormat chart="111" format="10">
      <pivotArea type="data" outline="0" fieldPosition="0">
        <references count="2">
          <reference field="4294967294" count="1" selected="0">
            <x v="0"/>
          </reference>
          <reference field="3" count="1" selected="0">
            <x v="5"/>
          </reference>
        </references>
      </pivotArea>
    </chartFormat>
    <chartFormat chart="111" format="11">
      <pivotArea type="data" outline="0" fieldPosition="0">
        <references count="2">
          <reference field="4294967294" count="1" selected="0">
            <x v="0"/>
          </reference>
          <reference field="3" count="1" selected="0">
            <x v="6"/>
          </reference>
        </references>
      </pivotArea>
    </chartFormat>
    <chartFormat chart="111" format="12">
      <pivotArea type="data" outline="0" fieldPosition="0">
        <references count="2">
          <reference field="4294967294" count="1" selected="0">
            <x v="0"/>
          </reference>
          <reference field="3" count="1" selected="0">
            <x v="7"/>
          </reference>
        </references>
      </pivotArea>
    </chartFormat>
    <chartFormat chart="111" format="13">
      <pivotArea type="data" outline="0" fieldPosition="0">
        <references count="2">
          <reference field="4294967294" count="1" selected="0">
            <x v="0"/>
          </reference>
          <reference field="3" count="1" selected="0">
            <x v="8"/>
          </reference>
        </references>
      </pivotArea>
    </chartFormat>
    <chartFormat chart="111" format="14">
      <pivotArea type="data" outline="0" fieldPosition="0">
        <references count="2">
          <reference field="4294967294" count="1" selected="0">
            <x v="0"/>
          </reference>
          <reference field="3" count="1" selected="0">
            <x v="9"/>
          </reference>
        </references>
      </pivotArea>
    </chartFormat>
    <chartFormat chart="111" format="15">
      <pivotArea type="data" outline="0" fieldPosition="0">
        <references count="2">
          <reference field="4294967294" count="1" selected="0">
            <x v="0"/>
          </reference>
          <reference field="3" count="1" selected="0">
            <x v="10"/>
          </reference>
        </references>
      </pivotArea>
    </chartFormat>
    <chartFormat chart="111" format="16">
      <pivotArea type="data" outline="0" fieldPosition="0">
        <references count="2">
          <reference field="4294967294" count="1" selected="0">
            <x v="0"/>
          </reference>
          <reference field="3" count="1" selected="0">
            <x v="11"/>
          </reference>
        </references>
      </pivotArea>
    </chartFormat>
    <chartFormat chart="111" format="17">
      <pivotArea type="data" outline="0" fieldPosition="0">
        <references count="2">
          <reference field="4294967294" count="1" selected="0">
            <x v="0"/>
          </reference>
          <reference field="3" count="1" selected="0">
            <x v="12"/>
          </reference>
        </references>
      </pivotArea>
    </chartFormat>
    <chartFormat chart="111" format="18">
      <pivotArea type="data" outline="0" fieldPosition="0">
        <references count="2">
          <reference field="4294967294" count="1" selected="0">
            <x v="0"/>
          </reference>
          <reference field="3" count="1" selected="0">
            <x v="13"/>
          </reference>
        </references>
      </pivotArea>
    </chartFormat>
    <chartFormat chart="111" format="19">
      <pivotArea type="data" outline="0" fieldPosition="0">
        <references count="2">
          <reference field="4294967294" count="1" selected="0">
            <x v="0"/>
          </reference>
          <reference field="3" count="1" selected="0">
            <x v="14"/>
          </reference>
        </references>
      </pivotArea>
    </chartFormat>
    <chartFormat chart="111" format="20">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4E970-C439-4739-B399-9C9E55261D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K3:L11" firstHeaderRow="1" firstDataRow="1" firstDataCol="1"/>
  <pivotFields count="7">
    <pivotField axis="axisRow" showAll="0" measureFilter="1" sortType="descending">
      <items count="41">
        <item x="39"/>
        <item x="7"/>
        <item x="32"/>
        <item x="38"/>
        <item x="23"/>
        <item x="11"/>
        <item x="0"/>
        <item x="1"/>
        <item x="3"/>
        <item x="28"/>
        <item x="5"/>
        <item x="35"/>
        <item x="8"/>
        <item x="19"/>
        <item x="20"/>
        <item x="24"/>
        <item x="2"/>
        <item x="30"/>
        <item x="36"/>
        <item x="18"/>
        <item x="27"/>
        <item x="33"/>
        <item x="22"/>
        <item x="9"/>
        <item x="4"/>
        <item x="21"/>
        <item x="26"/>
        <item x="15"/>
        <item x="14"/>
        <item x="34"/>
        <item x="13"/>
        <item x="29"/>
        <item x="10"/>
        <item x="16"/>
        <item x="25"/>
        <item x="6"/>
        <item x="17"/>
        <item x="37"/>
        <item x="31"/>
        <item x="12"/>
        <item t="default"/>
      </items>
      <autoSortScope>
        <pivotArea dataOnly="0" outline="0" fieldPosition="0">
          <references count="1">
            <reference field="4294967294" count="1" selected="0">
              <x v="0"/>
            </reference>
          </references>
        </pivotArea>
      </autoSortScope>
    </pivotField>
    <pivotField showAll="0">
      <items count="40">
        <item x="38"/>
        <item x="1"/>
        <item x="31"/>
        <item x="37"/>
        <item x="22"/>
        <item x="10"/>
        <item x="36"/>
        <item x="27"/>
        <item x="7"/>
        <item x="18"/>
        <item x="19"/>
        <item x="6"/>
        <item x="2"/>
        <item x="29"/>
        <item x="17"/>
        <item x="13"/>
        <item x="26"/>
        <item x="32"/>
        <item x="21"/>
        <item x="9"/>
        <item x="8"/>
        <item x="3"/>
        <item x="4"/>
        <item x="20"/>
        <item x="34"/>
        <item x="25"/>
        <item x="0"/>
        <item x="23"/>
        <item x="14"/>
        <item x="33"/>
        <item x="28"/>
        <item x="12"/>
        <item x="15"/>
        <item x="5"/>
        <item x="16"/>
        <item x="30"/>
        <item x="24"/>
        <item x="35"/>
        <item x="11"/>
        <item t="default"/>
      </items>
    </pivotField>
    <pivotField showAll="0"/>
    <pivotField showAll="0"/>
    <pivotField showAll="0"/>
    <pivotField dataField="1" showAll="0"/>
    <pivotField showAll="0"/>
  </pivotFields>
  <rowFields count="1">
    <field x="0"/>
  </rowFields>
  <rowItems count="8">
    <i>
      <x v="6"/>
    </i>
    <i>
      <x v="24"/>
    </i>
    <i>
      <x v="16"/>
    </i>
    <i>
      <x v="7"/>
    </i>
    <i>
      <x v="10"/>
    </i>
    <i>
      <x v="35"/>
    </i>
    <i>
      <x v="8"/>
    </i>
    <i t="grand">
      <x/>
    </i>
  </rowItems>
  <colItems count="1">
    <i/>
  </colItems>
  <dataFields count="1">
    <dataField name="Sum of Popularity Score (1-10)" fld="5" baseField="0" baseItem="0"/>
  </dataFields>
  <chartFormats count="27">
    <chartFormat chart="18" format="0" series="1">
      <pivotArea type="data" outline="0" fieldPosition="0">
        <references count="1">
          <reference field="4294967294" count="1" selected="0">
            <x v="0"/>
          </reference>
        </references>
      </pivotArea>
    </chartFormat>
    <chartFormat chart="37" format="25" series="1">
      <pivotArea type="data" outline="0" fieldPosition="0">
        <references count="1">
          <reference field="4294967294" count="1" selected="0">
            <x v="0"/>
          </reference>
        </references>
      </pivotArea>
    </chartFormat>
    <chartFormat chart="37" format="26">
      <pivotArea type="data" outline="0" fieldPosition="0">
        <references count="2">
          <reference field="4294967294" count="1" selected="0">
            <x v="0"/>
          </reference>
          <reference field="0" count="1" selected="0">
            <x v="6"/>
          </reference>
        </references>
      </pivotArea>
    </chartFormat>
    <chartFormat chart="37" format="27">
      <pivotArea type="data" outline="0" fieldPosition="0">
        <references count="2">
          <reference field="4294967294" count="1" selected="0">
            <x v="0"/>
          </reference>
          <reference field="0" count="1" selected="0">
            <x v="24"/>
          </reference>
        </references>
      </pivotArea>
    </chartFormat>
    <chartFormat chart="37" format="28">
      <pivotArea type="data" outline="0" fieldPosition="0">
        <references count="2">
          <reference field="4294967294" count="1" selected="0">
            <x v="0"/>
          </reference>
          <reference field="0" count="1" selected="0">
            <x v="16"/>
          </reference>
        </references>
      </pivotArea>
    </chartFormat>
    <chartFormat chart="37" format="29">
      <pivotArea type="data" outline="0" fieldPosition="0">
        <references count="2">
          <reference field="4294967294" count="1" selected="0">
            <x v="0"/>
          </reference>
          <reference field="0" count="1" selected="0">
            <x v="7"/>
          </reference>
        </references>
      </pivotArea>
    </chartFormat>
    <chartFormat chart="37" format="30">
      <pivotArea type="data" outline="0" fieldPosition="0">
        <references count="2">
          <reference field="4294967294" count="1" selected="0">
            <x v="0"/>
          </reference>
          <reference field="0" count="1" selected="0">
            <x v="10"/>
          </reference>
        </references>
      </pivotArea>
    </chartFormat>
    <chartFormat chart="37" format="31">
      <pivotArea type="data" outline="0" fieldPosition="0">
        <references count="2">
          <reference field="4294967294" count="1" selected="0">
            <x v="0"/>
          </reference>
          <reference field="0" count="1" selected="0">
            <x v="35"/>
          </reference>
        </references>
      </pivotArea>
    </chartFormat>
    <chartFormat chart="37" format="32">
      <pivotArea type="data" outline="0" fieldPosition="0">
        <references count="2">
          <reference field="4294967294" count="1" selected="0">
            <x v="0"/>
          </reference>
          <reference field="0" count="1" selected="0">
            <x v="8"/>
          </reference>
        </references>
      </pivotArea>
    </chartFormat>
    <chartFormat chart="40" format="17" series="1">
      <pivotArea type="data" outline="0" fieldPosition="0">
        <references count="1">
          <reference field="4294967294" count="1" selected="0">
            <x v="0"/>
          </reference>
        </references>
      </pivotArea>
    </chartFormat>
    <chartFormat chart="40" format="18">
      <pivotArea type="data" outline="0" fieldPosition="0">
        <references count="2">
          <reference field="4294967294" count="1" selected="0">
            <x v="0"/>
          </reference>
          <reference field="0" count="1" selected="0">
            <x v="6"/>
          </reference>
        </references>
      </pivotArea>
    </chartFormat>
    <chartFormat chart="40" format="19">
      <pivotArea type="data" outline="0" fieldPosition="0">
        <references count="2">
          <reference field="4294967294" count="1" selected="0">
            <x v="0"/>
          </reference>
          <reference field="0" count="1" selected="0">
            <x v="24"/>
          </reference>
        </references>
      </pivotArea>
    </chartFormat>
    <chartFormat chart="40" format="20">
      <pivotArea type="data" outline="0" fieldPosition="0">
        <references count="2">
          <reference field="4294967294" count="1" selected="0">
            <x v="0"/>
          </reference>
          <reference field="0" count="1" selected="0">
            <x v="16"/>
          </reference>
        </references>
      </pivotArea>
    </chartFormat>
    <chartFormat chart="40" format="21">
      <pivotArea type="data" outline="0" fieldPosition="0">
        <references count="2">
          <reference field="4294967294" count="1" selected="0">
            <x v="0"/>
          </reference>
          <reference field="0" count="1" selected="0">
            <x v="7"/>
          </reference>
        </references>
      </pivotArea>
    </chartFormat>
    <chartFormat chart="40" format="22">
      <pivotArea type="data" outline="0" fieldPosition="0">
        <references count="2">
          <reference field="4294967294" count="1" selected="0">
            <x v="0"/>
          </reference>
          <reference field="0" count="1" selected="0">
            <x v="10"/>
          </reference>
        </references>
      </pivotArea>
    </chartFormat>
    <chartFormat chart="40" format="23">
      <pivotArea type="data" outline="0" fieldPosition="0">
        <references count="2">
          <reference field="4294967294" count="1" selected="0">
            <x v="0"/>
          </reference>
          <reference field="0" count="1" selected="0">
            <x v="35"/>
          </reference>
        </references>
      </pivotArea>
    </chartFormat>
    <chartFormat chart="40" format="24">
      <pivotArea type="data" outline="0" fieldPosition="0">
        <references count="2">
          <reference field="4294967294" count="1" selected="0">
            <x v="0"/>
          </reference>
          <reference field="0" count="1" selected="0">
            <x v="8"/>
          </reference>
        </references>
      </pivotArea>
    </chartFormat>
    <chartFormat chart="18" format="1">
      <pivotArea type="data" outline="0" fieldPosition="0">
        <references count="2">
          <reference field="4294967294" count="1" selected="0">
            <x v="0"/>
          </reference>
          <reference field="0" count="1" selected="0">
            <x v="6"/>
          </reference>
        </references>
      </pivotArea>
    </chartFormat>
    <chartFormat chart="18" format="2">
      <pivotArea type="data" outline="0" fieldPosition="0">
        <references count="2">
          <reference field="4294967294" count="1" selected="0">
            <x v="0"/>
          </reference>
          <reference field="0" count="1" selected="0">
            <x v="24"/>
          </reference>
        </references>
      </pivotArea>
    </chartFormat>
    <chartFormat chart="18" format="3">
      <pivotArea type="data" outline="0" fieldPosition="0">
        <references count="2">
          <reference field="4294967294" count="1" selected="0">
            <x v="0"/>
          </reference>
          <reference field="0" count="1" selected="0">
            <x v="16"/>
          </reference>
        </references>
      </pivotArea>
    </chartFormat>
    <chartFormat chart="18" format="4">
      <pivotArea type="data" outline="0" fieldPosition="0">
        <references count="2">
          <reference field="4294967294" count="1" selected="0">
            <x v="0"/>
          </reference>
          <reference field="0" count="1" selected="0">
            <x v="7"/>
          </reference>
        </references>
      </pivotArea>
    </chartFormat>
    <chartFormat chart="18" format="5">
      <pivotArea type="data" outline="0" fieldPosition="0">
        <references count="2">
          <reference field="4294967294" count="1" selected="0">
            <x v="0"/>
          </reference>
          <reference field="0" count="1" selected="0">
            <x v="10"/>
          </reference>
        </references>
      </pivotArea>
    </chartFormat>
    <chartFormat chart="18" format="6">
      <pivotArea type="data" outline="0" fieldPosition="0">
        <references count="2">
          <reference field="4294967294" count="1" selected="0">
            <x v="0"/>
          </reference>
          <reference field="0" count="1" selected="0">
            <x v="35"/>
          </reference>
        </references>
      </pivotArea>
    </chartFormat>
    <chartFormat chart="18" format="7">
      <pivotArea type="data" outline="0" fieldPosition="0">
        <references count="2">
          <reference field="4294967294" count="1" selected="0">
            <x v="0"/>
          </reference>
          <reference field="0" count="1" selected="0">
            <x v="8"/>
          </reference>
        </references>
      </pivotArea>
    </chartFormat>
    <chartFormat chart="45"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7F7FB5-2648-43E0-B098-0058E15FE9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47" firstHeaderRow="1" firstDataRow="1" firstDataCol="1"/>
  <pivotFields count="7">
    <pivotField showAll="0">
      <items count="41">
        <item x="39"/>
        <item x="7"/>
        <item x="32"/>
        <item x="38"/>
        <item x="23"/>
        <item x="11"/>
        <item x="0"/>
        <item x="1"/>
        <item x="3"/>
        <item x="28"/>
        <item x="5"/>
        <item x="35"/>
        <item x="8"/>
        <item x="19"/>
        <item x="20"/>
        <item x="24"/>
        <item x="2"/>
        <item x="30"/>
        <item x="36"/>
        <item x="18"/>
        <item x="27"/>
        <item x="33"/>
        <item x="22"/>
        <item x="9"/>
        <item x="4"/>
        <item x="21"/>
        <item x="26"/>
        <item x="15"/>
        <item x="14"/>
        <item x="34"/>
        <item x="13"/>
        <item x="29"/>
        <item x="10"/>
        <item x="16"/>
        <item x="25"/>
        <item x="6"/>
        <item x="17"/>
        <item x="37"/>
        <item x="31"/>
        <item x="12"/>
        <item t="default"/>
      </items>
    </pivotField>
    <pivotField axis="axisRow" showAll="0">
      <items count="40">
        <item h="1" x="38"/>
        <item h="1" x="1"/>
        <item h="1" x="31"/>
        <item h="1" x="37"/>
        <item h="1" x="22"/>
        <item h="1" x="10"/>
        <item h="1" x="36"/>
        <item h="1" x="27"/>
        <item h="1" x="7"/>
        <item h="1" x="18"/>
        <item h="1" x="19"/>
        <item h="1" x="6"/>
        <item h="1" x="2"/>
        <item h="1" x="29"/>
        <item h="1" x="17"/>
        <item h="1" x="13"/>
        <item h="1" x="26"/>
        <item h="1" x="32"/>
        <item h="1" x="21"/>
        <item h="1" x="9"/>
        <item h="1" x="8"/>
        <item h="1" x="3"/>
        <item h="1" x="4"/>
        <item h="1" x="20"/>
        <item h="1" x="34"/>
        <item h="1" x="25"/>
        <item h="1" x="0"/>
        <item h="1" x="23"/>
        <item h="1" x="14"/>
        <item h="1" x="33"/>
        <item h="1" x="28"/>
        <item h="1" x="12"/>
        <item h="1" x="15"/>
        <item h="1" x="5"/>
        <item h="1" x="16"/>
        <item h="1" x="30"/>
        <item x="24"/>
        <item h="1" x="35"/>
        <item h="1" x="11"/>
        <item t="default"/>
      </items>
    </pivotField>
    <pivotField showAll="0"/>
    <pivotField showAll="0">
      <items count="17">
        <item x="15"/>
        <item x="6"/>
        <item x="7"/>
        <item x="0"/>
        <item x="4"/>
        <item x="1"/>
        <item x="8"/>
        <item x="14"/>
        <item x="2"/>
        <item x="3"/>
        <item x="11"/>
        <item x="13"/>
        <item x="10"/>
        <item x="9"/>
        <item x="5"/>
        <item x="12"/>
        <item t="default"/>
      </items>
    </pivotField>
    <pivotField showAll="0"/>
    <pivotField dataField="1" showAll="0">
      <items count="10">
        <item h="1" x="8"/>
        <item h="1" x="7"/>
        <item x="6"/>
        <item h="1" x="5"/>
        <item h="1" x="4"/>
        <item h="1" x="2"/>
        <item h="1" x="1"/>
        <item h="1" x="3"/>
        <item h="1" x="0"/>
        <item t="default"/>
      </items>
    </pivotField>
    <pivotField showAll="0"/>
  </pivotFields>
  <rowFields count="1">
    <field x="1"/>
  </rowFields>
  <rowItems count="1">
    <i t="grand">
      <x/>
    </i>
  </rowItems>
  <colItems count="1">
    <i/>
  </colItems>
  <dataFields count="1">
    <dataField name="Sum of Popularity Score (1-10)"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eloper_Company" xr10:uid="{F38D54C9-C09D-4A32-B0A8-34D81D1A1745}" sourceName="Developer/Company">
  <pivotTables>
    <pivotTable tabId="2" name="PivotTable2"/>
    <pivotTable tabId="2" name="PivotTable5"/>
  </pivotTables>
  <data>
    <tabular pivotCacheId="553749694">
      <items count="39">
        <i x="38"/>
        <i x="1"/>
        <i x="31"/>
        <i x="37"/>
        <i x="22"/>
        <i x="10"/>
        <i x="36"/>
        <i x="27"/>
        <i x="7"/>
        <i x="18"/>
        <i x="19"/>
        <i x="6"/>
        <i x="2"/>
        <i x="29"/>
        <i x="17"/>
        <i x="13"/>
        <i x="26"/>
        <i x="32"/>
        <i x="21"/>
        <i x="9"/>
        <i x="8"/>
        <i x="3"/>
        <i x="4"/>
        <i x="20"/>
        <i x="34"/>
        <i x="25"/>
        <i x="0"/>
        <i x="23"/>
        <i x="14"/>
        <i x="33"/>
        <i x="28"/>
        <i x="12"/>
        <i x="15"/>
        <i x="5"/>
        <i x="16"/>
        <i x="30"/>
        <i x="24" s="1"/>
        <i x="35"/>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_Score__1_10" xr10:uid="{CF58723B-FACA-4225-A885-5A179A090B8F}" sourceName="Popularity Score (1-10)">
  <pivotTables>
    <pivotTable tabId="2" name="PivotTable2"/>
    <pivotTable tabId="2" name="PivotTable1"/>
  </pivotTables>
  <data>
    <tabular pivotCacheId="553749694">
      <items count="9">
        <i x="8"/>
        <i x="7"/>
        <i x="6" s="1"/>
        <i x="5"/>
        <i x="4"/>
        <i x="2"/>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er/Company" xr10:uid="{B6F3141A-C232-4799-969C-40B1F3CB5631}" cache="Slicer_Developer_Company" caption="Developer/Company" startItem="8" rowHeight="234950"/>
  <slicer name="Popularity Score (1-10)" xr10:uid="{41EBC555-6CC8-4848-9C9D-BBBE252997EE}" cache="Slicer_Popularity_Score__1_10" caption="Popularity Score (1-1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er/Company 1" xr10:uid="{E2C770DD-B389-4469-BDC7-0B94E3FCF58F}" cache="Slicer_Developer_Company" caption="Developer/Company" startItem="32" rowHeight="234950"/>
  <slicer name="Popularity Score (1-10) 1" xr10:uid="{D2D164BC-41ED-454B-B2A5-77FEF4B655AC}" cache="Slicer_Popularity_Score__1_10" caption="Popularity Score (1-10)"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7E2C-7F0D-429E-A5B4-D7EF990C667E}">
  <dimension ref="A1:G41"/>
  <sheetViews>
    <sheetView topLeftCell="A15" workbookViewId="0">
      <selection activeCell="G21" sqref="G21"/>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v>2022</v>
      </c>
      <c r="D2" t="s">
        <v>9</v>
      </c>
      <c r="E2" t="s">
        <v>10</v>
      </c>
      <c r="F2">
        <v>10</v>
      </c>
      <c r="G2">
        <v>85</v>
      </c>
    </row>
    <row r="3" spans="1:7" x14ac:dyDescent="0.3">
      <c r="A3" t="s">
        <v>11</v>
      </c>
      <c r="B3" t="s">
        <v>12</v>
      </c>
      <c r="C3">
        <v>2023</v>
      </c>
      <c r="D3" t="s">
        <v>9</v>
      </c>
      <c r="E3" t="s">
        <v>10</v>
      </c>
      <c r="F3">
        <v>8.5</v>
      </c>
      <c r="G3">
        <v>4.5</v>
      </c>
    </row>
    <row r="4" spans="1:7" x14ac:dyDescent="0.3">
      <c r="A4" t="s">
        <v>13</v>
      </c>
      <c r="B4" t="s">
        <v>14</v>
      </c>
      <c r="C4">
        <v>2023</v>
      </c>
      <c r="D4" t="s">
        <v>9</v>
      </c>
      <c r="E4" t="s">
        <v>10</v>
      </c>
      <c r="F4">
        <v>8.5</v>
      </c>
      <c r="G4">
        <v>15</v>
      </c>
    </row>
    <row r="5" spans="1:7" x14ac:dyDescent="0.3">
      <c r="A5" t="s">
        <v>15</v>
      </c>
      <c r="B5" t="s">
        <v>16</v>
      </c>
      <c r="C5">
        <v>2023</v>
      </c>
      <c r="D5" t="s">
        <v>17</v>
      </c>
      <c r="E5" t="s">
        <v>18</v>
      </c>
      <c r="F5">
        <v>8</v>
      </c>
      <c r="G5" t="s">
        <v>19</v>
      </c>
    </row>
    <row r="6" spans="1:7" x14ac:dyDescent="0.3">
      <c r="A6" t="s">
        <v>20</v>
      </c>
      <c r="B6" t="s">
        <v>20</v>
      </c>
      <c r="C6">
        <v>2022</v>
      </c>
      <c r="D6" t="s">
        <v>21</v>
      </c>
      <c r="E6" t="s">
        <v>22</v>
      </c>
      <c r="F6">
        <v>9</v>
      </c>
      <c r="G6">
        <v>1.5</v>
      </c>
    </row>
    <row r="7" spans="1:7" x14ac:dyDescent="0.3">
      <c r="A7" t="s">
        <v>23</v>
      </c>
      <c r="B7" t="s">
        <v>8</v>
      </c>
      <c r="C7">
        <v>2021</v>
      </c>
      <c r="D7" t="s">
        <v>21</v>
      </c>
      <c r="E7" t="s">
        <v>22</v>
      </c>
      <c r="F7">
        <v>8.5</v>
      </c>
      <c r="G7">
        <v>85</v>
      </c>
    </row>
    <row r="8" spans="1:7" x14ac:dyDescent="0.3">
      <c r="A8" t="s">
        <v>24</v>
      </c>
      <c r="B8" t="s">
        <v>25</v>
      </c>
      <c r="C8">
        <v>2022</v>
      </c>
      <c r="D8" t="s">
        <v>21</v>
      </c>
      <c r="E8" t="s">
        <v>22</v>
      </c>
      <c r="F8">
        <v>8</v>
      </c>
      <c r="G8">
        <v>4</v>
      </c>
    </row>
    <row r="9" spans="1:7" x14ac:dyDescent="0.3">
      <c r="A9" t="s">
        <v>26</v>
      </c>
      <c r="B9" t="s">
        <v>27</v>
      </c>
      <c r="C9">
        <v>2023</v>
      </c>
      <c r="D9" t="s">
        <v>9</v>
      </c>
      <c r="E9" t="s">
        <v>10</v>
      </c>
      <c r="F9">
        <v>7.5</v>
      </c>
      <c r="G9">
        <v>15</v>
      </c>
    </row>
    <row r="10" spans="1:7" x14ac:dyDescent="0.3">
      <c r="A10" t="s">
        <v>28</v>
      </c>
      <c r="B10" t="s">
        <v>29</v>
      </c>
      <c r="C10">
        <v>2024</v>
      </c>
      <c r="D10" t="s">
        <v>9</v>
      </c>
      <c r="E10" t="s">
        <v>30</v>
      </c>
      <c r="F10">
        <v>7.5</v>
      </c>
      <c r="G10">
        <v>0.1</v>
      </c>
    </row>
    <row r="11" spans="1:7" x14ac:dyDescent="0.3">
      <c r="A11" t="s">
        <v>31</v>
      </c>
      <c r="B11" t="s">
        <v>32</v>
      </c>
      <c r="C11">
        <v>2023</v>
      </c>
      <c r="D11" t="s">
        <v>33</v>
      </c>
      <c r="E11" t="s">
        <v>34</v>
      </c>
      <c r="F11">
        <v>7</v>
      </c>
      <c r="G11">
        <v>10</v>
      </c>
    </row>
    <row r="12" spans="1:7" x14ac:dyDescent="0.3">
      <c r="A12" t="s">
        <v>35</v>
      </c>
      <c r="B12" t="s">
        <v>36</v>
      </c>
      <c r="C12">
        <v>2017</v>
      </c>
      <c r="D12" t="s">
        <v>9</v>
      </c>
      <c r="E12" t="s">
        <v>37</v>
      </c>
      <c r="F12">
        <v>6.5</v>
      </c>
      <c r="G12">
        <v>0.3</v>
      </c>
    </row>
    <row r="13" spans="1:7" x14ac:dyDescent="0.3">
      <c r="A13" t="s">
        <v>38</v>
      </c>
      <c r="B13" t="s">
        <v>39</v>
      </c>
      <c r="C13">
        <v>2022</v>
      </c>
      <c r="D13" t="s">
        <v>9</v>
      </c>
      <c r="E13" t="s">
        <v>40</v>
      </c>
      <c r="F13">
        <v>7.5</v>
      </c>
      <c r="G13">
        <v>1.2</v>
      </c>
    </row>
    <row r="14" spans="1:7" x14ac:dyDescent="0.3">
      <c r="A14" t="s">
        <v>41</v>
      </c>
      <c r="B14" t="s">
        <v>42</v>
      </c>
      <c r="C14">
        <v>2022</v>
      </c>
      <c r="D14" t="s">
        <v>9</v>
      </c>
      <c r="E14" t="s">
        <v>43</v>
      </c>
      <c r="F14">
        <v>6.5</v>
      </c>
      <c r="G14">
        <v>0.1</v>
      </c>
    </row>
    <row r="15" spans="1:7" x14ac:dyDescent="0.3">
      <c r="A15" t="s">
        <v>44</v>
      </c>
      <c r="B15" t="s">
        <v>45</v>
      </c>
      <c r="C15">
        <v>2023</v>
      </c>
      <c r="D15" t="s">
        <v>46</v>
      </c>
      <c r="E15" t="s">
        <v>47</v>
      </c>
      <c r="F15">
        <v>6</v>
      </c>
      <c r="G15">
        <v>1</v>
      </c>
    </row>
    <row r="16" spans="1:7" x14ac:dyDescent="0.3">
      <c r="A16" t="s">
        <v>48</v>
      </c>
      <c r="B16" t="s">
        <v>49</v>
      </c>
      <c r="C16">
        <v>2023</v>
      </c>
      <c r="D16" t="s">
        <v>9</v>
      </c>
      <c r="E16" t="s">
        <v>50</v>
      </c>
      <c r="F16">
        <v>6.5</v>
      </c>
      <c r="G16">
        <v>1</v>
      </c>
    </row>
    <row r="17" spans="1:7" x14ac:dyDescent="0.3">
      <c r="A17" t="s">
        <v>51</v>
      </c>
      <c r="B17" t="s">
        <v>52</v>
      </c>
      <c r="C17">
        <v>2023</v>
      </c>
      <c r="D17" t="s">
        <v>9</v>
      </c>
      <c r="E17" t="s">
        <v>53</v>
      </c>
      <c r="F17">
        <v>7</v>
      </c>
      <c r="G17">
        <v>0.1</v>
      </c>
    </row>
    <row r="18" spans="1:7" x14ac:dyDescent="0.3">
      <c r="A18" t="s">
        <v>54</v>
      </c>
      <c r="B18" t="s">
        <v>55</v>
      </c>
      <c r="C18">
        <v>2021</v>
      </c>
      <c r="D18" t="s">
        <v>56</v>
      </c>
      <c r="E18" t="s">
        <v>57</v>
      </c>
      <c r="F18">
        <v>7.5</v>
      </c>
      <c r="G18">
        <v>1</v>
      </c>
    </row>
    <row r="19" spans="1:7" x14ac:dyDescent="0.3">
      <c r="A19" t="s">
        <v>58</v>
      </c>
      <c r="B19" t="s">
        <v>58</v>
      </c>
      <c r="C19">
        <v>2020</v>
      </c>
      <c r="D19" t="s">
        <v>56</v>
      </c>
      <c r="E19" t="s">
        <v>59</v>
      </c>
      <c r="F19">
        <v>7</v>
      </c>
      <c r="G19">
        <v>1</v>
      </c>
    </row>
    <row r="20" spans="1:7" x14ac:dyDescent="0.3">
      <c r="A20" t="s">
        <v>60</v>
      </c>
      <c r="B20" t="s">
        <v>60</v>
      </c>
      <c r="C20">
        <v>2022</v>
      </c>
      <c r="D20" t="s">
        <v>56</v>
      </c>
      <c r="E20" t="s">
        <v>59</v>
      </c>
      <c r="F20">
        <v>6.5</v>
      </c>
      <c r="G20">
        <v>0.1</v>
      </c>
    </row>
    <row r="21" spans="1:7" x14ac:dyDescent="0.3">
      <c r="A21" t="s">
        <v>61</v>
      </c>
      <c r="B21" t="s">
        <v>61</v>
      </c>
      <c r="C21">
        <v>2020</v>
      </c>
      <c r="D21" t="s">
        <v>62</v>
      </c>
      <c r="E21" t="s">
        <v>63</v>
      </c>
      <c r="F21">
        <v>6.5</v>
      </c>
      <c r="G21">
        <v>1</v>
      </c>
    </row>
    <row r="22" spans="1:7" x14ac:dyDescent="0.3">
      <c r="A22" t="s">
        <v>64</v>
      </c>
      <c r="B22" t="s">
        <v>64</v>
      </c>
      <c r="C22">
        <v>2022</v>
      </c>
      <c r="D22" t="s">
        <v>65</v>
      </c>
      <c r="E22" t="s">
        <v>66</v>
      </c>
      <c r="F22">
        <v>7.5</v>
      </c>
      <c r="G22">
        <v>0.7</v>
      </c>
    </row>
    <row r="23" spans="1:7" x14ac:dyDescent="0.3">
      <c r="A23" t="s">
        <v>67</v>
      </c>
      <c r="B23" t="s">
        <v>68</v>
      </c>
      <c r="C23">
        <v>2021</v>
      </c>
      <c r="D23" t="s">
        <v>65</v>
      </c>
      <c r="E23" t="s">
        <v>69</v>
      </c>
      <c r="F23">
        <v>6.5</v>
      </c>
      <c r="G23">
        <v>0.1</v>
      </c>
    </row>
    <row r="24" spans="1:7" x14ac:dyDescent="0.3">
      <c r="A24" t="s">
        <v>70</v>
      </c>
      <c r="B24" t="s">
        <v>71</v>
      </c>
      <c r="C24">
        <v>2023</v>
      </c>
      <c r="D24" t="s">
        <v>21</v>
      </c>
      <c r="E24" t="s">
        <v>72</v>
      </c>
      <c r="F24">
        <v>6.5</v>
      </c>
      <c r="G24">
        <v>0.1</v>
      </c>
    </row>
    <row r="25" spans="1:7" x14ac:dyDescent="0.3">
      <c r="A25" t="s">
        <v>73</v>
      </c>
      <c r="B25" t="s">
        <v>74</v>
      </c>
      <c r="C25">
        <v>2023</v>
      </c>
      <c r="D25" t="s">
        <v>75</v>
      </c>
      <c r="E25" t="s">
        <v>76</v>
      </c>
      <c r="F25">
        <v>6</v>
      </c>
      <c r="G25">
        <v>0.1</v>
      </c>
    </row>
    <row r="26" spans="1:7" x14ac:dyDescent="0.3">
      <c r="A26" t="s">
        <v>77</v>
      </c>
      <c r="B26" t="s">
        <v>78</v>
      </c>
      <c r="C26">
        <v>2022</v>
      </c>
      <c r="D26" t="s">
        <v>79</v>
      </c>
      <c r="E26" t="s">
        <v>80</v>
      </c>
      <c r="F26">
        <v>6</v>
      </c>
      <c r="G26">
        <v>0.1</v>
      </c>
    </row>
    <row r="27" spans="1:7" x14ac:dyDescent="0.3">
      <c r="A27" t="s">
        <v>81</v>
      </c>
      <c r="B27" t="s">
        <v>82</v>
      </c>
      <c r="C27">
        <v>2022</v>
      </c>
      <c r="D27" t="s">
        <v>79</v>
      </c>
      <c r="E27" t="s">
        <v>83</v>
      </c>
      <c r="F27">
        <v>6</v>
      </c>
      <c r="G27">
        <v>0.1</v>
      </c>
    </row>
    <row r="28" spans="1:7" x14ac:dyDescent="0.3">
      <c r="A28" t="s">
        <v>84</v>
      </c>
      <c r="B28" t="s">
        <v>85</v>
      </c>
      <c r="C28">
        <v>2023</v>
      </c>
      <c r="D28" t="s">
        <v>86</v>
      </c>
      <c r="E28" t="s">
        <v>87</v>
      </c>
      <c r="F28">
        <v>7</v>
      </c>
      <c r="G28">
        <v>2</v>
      </c>
    </row>
    <row r="29" spans="1:7" x14ac:dyDescent="0.3">
      <c r="A29" t="s">
        <v>88</v>
      </c>
      <c r="B29" t="s">
        <v>89</v>
      </c>
      <c r="C29">
        <v>2021</v>
      </c>
      <c r="D29" t="s">
        <v>90</v>
      </c>
      <c r="E29" t="s">
        <v>91</v>
      </c>
      <c r="F29">
        <v>6.5</v>
      </c>
      <c r="G29">
        <v>1.75</v>
      </c>
    </row>
    <row r="30" spans="1:7" x14ac:dyDescent="0.3">
      <c r="A30" t="s">
        <v>92</v>
      </c>
      <c r="B30" t="s">
        <v>92</v>
      </c>
      <c r="C30">
        <v>2021</v>
      </c>
      <c r="D30" t="s">
        <v>90</v>
      </c>
      <c r="E30" t="s">
        <v>91</v>
      </c>
      <c r="F30">
        <v>6</v>
      </c>
      <c r="G30">
        <v>0.4</v>
      </c>
    </row>
    <row r="31" spans="1:7" x14ac:dyDescent="0.3">
      <c r="A31" t="s">
        <v>93</v>
      </c>
      <c r="B31" t="s">
        <v>93</v>
      </c>
      <c r="C31">
        <v>2017</v>
      </c>
      <c r="D31" t="s">
        <v>94</v>
      </c>
      <c r="E31" t="s">
        <v>95</v>
      </c>
      <c r="F31">
        <v>7</v>
      </c>
      <c r="G31">
        <v>0.3</v>
      </c>
    </row>
    <row r="32" spans="1:7" x14ac:dyDescent="0.3">
      <c r="A32" t="s">
        <v>96</v>
      </c>
      <c r="B32" t="s">
        <v>97</v>
      </c>
      <c r="C32">
        <v>2023</v>
      </c>
      <c r="D32" t="s">
        <v>94</v>
      </c>
      <c r="E32" t="s">
        <v>98</v>
      </c>
      <c r="F32">
        <v>7</v>
      </c>
      <c r="G32">
        <v>1.35</v>
      </c>
    </row>
    <row r="33" spans="1:7" x14ac:dyDescent="0.3">
      <c r="A33" t="s">
        <v>99</v>
      </c>
      <c r="B33" t="s">
        <v>99</v>
      </c>
      <c r="C33">
        <v>2022</v>
      </c>
      <c r="D33" t="s">
        <v>100</v>
      </c>
      <c r="E33" t="s">
        <v>101</v>
      </c>
      <c r="F33">
        <v>6.5</v>
      </c>
      <c r="G33">
        <v>0.1</v>
      </c>
    </row>
    <row r="34" spans="1:7" x14ac:dyDescent="0.3">
      <c r="A34" t="s">
        <v>102</v>
      </c>
      <c r="B34" t="s">
        <v>102</v>
      </c>
      <c r="C34">
        <v>2021</v>
      </c>
      <c r="D34" t="s">
        <v>100</v>
      </c>
      <c r="E34" t="s">
        <v>103</v>
      </c>
      <c r="F34">
        <v>6</v>
      </c>
      <c r="G34">
        <v>0.1</v>
      </c>
    </row>
    <row r="35" spans="1:7" x14ac:dyDescent="0.3">
      <c r="A35" t="s">
        <v>104</v>
      </c>
      <c r="B35" t="s">
        <v>105</v>
      </c>
      <c r="C35">
        <v>2023</v>
      </c>
      <c r="D35" t="s">
        <v>21</v>
      </c>
      <c r="E35" t="s">
        <v>106</v>
      </c>
      <c r="F35">
        <v>6.5</v>
      </c>
      <c r="G35">
        <v>0.1</v>
      </c>
    </row>
    <row r="36" spans="1:7" x14ac:dyDescent="0.3">
      <c r="A36" t="s">
        <v>107</v>
      </c>
      <c r="B36" t="s">
        <v>107</v>
      </c>
      <c r="C36">
        <v>2021</v>
      </c>
      <c r="D36" t="s">
        <v>56</v>
      </c>
      <c r="E36" t="s">
        <v>108</v>
      </c>
      <c r="F36">
        <v>6</v>
      </c>
      <c r="G36">
        <v>0.1</v>
      </c>
    </row>
    <row r="37" spans="1:7" x14ac:dyDescent="0.3">
      <c r="A37" t="s">
        <v>109</v>
      </c>
      <c r="B37" t="s">
        <v>110</v>
      </c>
      <c r="C37">
        <v>2021</v>
      </c>
      <c r="D37" t="s">
        <v>111</v>
      </c>
      <c r="E37" t="s">
        <v>112</v>
      </c>
      <c r="F37">
        <v>5.5</v>
      </c>
      <c r="G37">
        <v>0.5</v>
      </c>
    </row>
    <row r="38" spans="1:7" x14ac:dyDescent="0.3">
      <c r="A38" t="s">
        <v>113</v>
      </c>
      <c r="B38" t="s">
        <v>114</v>
      </c>
      <c r="C38">
        <v>2023</v>
      </c>
      <c r="D38" t="s">
        <v>9</v>
      </c>
      <c r="E38" t="s">
        <v>10</v>
      </c>
      <c r="F38">
        <v>6.5</v>
      </c>
      <c r="G38">
        <v>15</v>
      </c>
    </row>
    <row r="39" spans="1:7" x14ac:dyDescent="0.3">
      <c r="A39" t="s">
        <v>115</v>
      </c>
      <c r="B39" t="s">
        <v>116</v>
      </c>
      <c r="C39">
        <v>2020</v>
      </c>
      <c r="D39" t="s">
        <v>17</v>
      </c>
      <c r="E39" t="s">
        <v>18</v>
      </c>
      <c r="F39">
        <v>6.5</v>
      </c>
      <c r="G39">
        <v>0.1</v>
      </c>
    </row>
    <row r="40" spans="1:7" x14ac:dyDescent="0.3">
      <c r="A40" t="s">
        <v>117</v>
      </c>
      <c r="B40" t="s">
        <v>117</v>
      </c>
      <c r="C40">
        <v>2022</v>
      </c>
      <c r="D40" t="s">
        <v>17</v>
      </c>
      <c r="E40" t="s">
        <v>118</v>
      </c>
      <c r="F40">
        <v>6.5</v>
      </c>
      <c r="G40">
        <v>0.1</v>
      </c>
    </row>
    <row r="41" spans="1:7" x14ac:dyDescent="0.3">
      <c r="A41" t="s">
        <v>119</v>
      </c>
      <c r="B41" t="s">
        <v>120</v>
      </c>
      <c r="C41">
        <v>2023</v>
      </c>
      <c r="D41" t="s">
        <v>121</v>
      </c>
      <c r="E41" t="s">
        <v>122</v>
      </c>
      <c r="F41">
        <v>6</v>
      </c>
      <c r="G41">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B3D1-B6C9-42D6-BE0C-BA534B56F8B9}">
  <dimension ref="A3:N49"/>
  <sheetViews>
    <sheetView tabSelected="1" topLeftCell="F1" workbookViewId="0">
      <selection activeCell="M6" sqref="M6"/>
    </sheetView>
  </sheetViews>
  <sheetFormatPr defaultRowHeight="14.4" x14ac:dyDescent="0.3"/>
  <cols>
    <col min="1" max="1" width="12.5546875" bestFit="1" customWidth="1"/>
    <col min="2" max="2" width="18.109375" bestFit="1" customWidth="1"/>
    <col min="3" max="3" width="30.33203125" bestFit="1" customWidth="1"/>
    <col min="4" max="4" width="16.21875" bestFit="1" customWidth="1"/>
    <col min="5" max="5" width="39.44140625" bestFit="1" customWidth="1"/>
    <col min="6" max="6" width="11.6640625" bestFit="1" customWidth="1"/>
    <col min="7" max="7" width="14.88671875" bestFit="1" customWidth="1"/>
    <col min="8" max="8" width="9.44140625" bestFit="1" customWidth="1"/>
    <col min="9" max="9" width="14.6640625" bestFit="1" customWidth="1"/>
    <col min="10" max="10" width="15.21875" bestFit="1" customWidth="1"/>
    <col min="11" max="11" width="13.88671875" bestFit="1" customWidth="1"/>
    <col min="12" max="12" width="27.109375" bestFit="1" customWidth="1"/>
    <col min="13" max="13" width="14.88671875" bestFit="1" customWidth="1"/>
    <col min="14" max="14" width="15.33203125" bestFit="1" customWidth="1"/>
    <col min="15" max="15" width="8.77734375" bestFit="1" customWidth="1"/>
    <col min="16" max="16" width="8" bestFit="1" customWidth="1"/>
    <col min="17" max="17" width="13.44140625" bestFit="1" customWidth="1"/>
    <col min="18" max="18" width="15.6640625" bestFit="1" customWidth="1"/>
    <col min="19" max="19" width="15.109375" bestFit="1" customWidth="1"/>
    <col min="20" max="20" width="10.77734375" bestFit="1" customWidth="1"/>
    <col min="21" max="21" width="11.109375" bestFit="1" customWidth="1"/>
    <col min="22" max="22" width="14.109375" bestFit="1" customWidth="1"/>
    <col min="23" max="23" width="19.21875" bestFit="1" customWidth="1"/>
    <col min="24" max="24" width="16.88671875" bestFit="1" customWidth="1"/>
    <col min="25" max="25" width="8.88671875" bestFit="1" customWidth="1"/>
    <col min="26" max="26" width="14.5546875" bestFit="1" customWidth="1"/>
    <col min="27" max="27" width="15.6640625" bestFit="1" customWidth="1"/>
    <col min="28" max="28" width="14" bestFit="1" customWidth="1"/>
    <col min="29" max="29" width="18.88671875" bestFit="1" customWidth="1"/>
    <col min="30" max="30" width="12" bestFit="1" customWidth="1"/>
    <col min="31" max="31" width="8.5546875" bestFit="1" customWidth="1"/>
    <col min="32" max="32" width="20.5546875" bestFit="1" customWidth="1"/>
    <col min="33" max="33" width="11.5546875" bestFit="1" customWidth="1"/>
    <col min="34" max="34" width="11.109375" bestFit="1" customWidth="1"/>
    <col min="35" max="35" width="14.6640625" bestFit="1" customWidth="1"/>
    <col min="36" max="36" width="11.21875" bestFit="1" customWidth="1"/>
    <col min="37" max="37" width="20.77734375" bestFit="1" customWidth="1"/>
    <col min="38" max="38" width="14.44140625" bestFit="1" customWidth="1"/>
    <col min="39" max="39" width="12.5546875" bestFit="1" customWidth="1"/>
    <col min="40" max="40" width="13.5546875" bestFit="1" customWidth="1"/>
    <col min="41" max="41" width="12.109375" bestFit="1" customWidth="1"/>
    <col min="42" max="42" width="12.44140625" bestFit="1" customWidth="1"/>
    <col min="43" max="43" width="9.44140625" bestFit="1" customWidth="1"/>
    <col min="44" max="44" width="11.33203125" bestFit="1" customWidth="1"/>
    <col min="45" max="45" width="10.77734375" bestFit="1" customWidth="1"/>
  </cols>
  <sheetData>
    <row r="3" spans="1:14" x14ac:dyDescent="0.3">
      <c r="A3" s="1" t="s">
        <v>123</v>
      </c>
      <c r="B3" t="s">
        <v>125</v>
      </c>
      <c r="C3" t="s">
        <v>127</v>
      </c>
      <c r="K3" s="1" t="s">
        <v>123</v>
      </c>
      <c r="L3" t="s">
        <v>126</v>
      </c>
    </row>
    <row r="4" spans="1:14" x14ac:dyDescent="0.3">
      <c r="A4" s="2" t="s">
        <v>117</v>
      </c>
      <c r="B4">
        <v>2022</v>
      </c>
      <c r="C4">
        <v>6.5</v>
      </c>
      <c r="K4" s="2" t="s">
        <v>7</v>
      </c>
      <c r="L4">
        <v>10</v>
      </c>
      <c r="M4" s="1" t="s">
        <v>10</v>
      </c>
      <c r="N4" t="s">
        <v>22</v>
      </c>
    </row>
    <row r="5" spans="1:14" x14ac:dyDescent="0.3">
      <c r="A5" s="2" t="s">
        <v>61</v>
      </c>
      <c r="B5">
        <v>2020</v>
      </c>
      <c r="C5">
        <v>6.5</v>
      </c>
      <c r="K5" s="2" t="s">
        <v>20</v>
      </c>
      <c r="L5">
        <v>9</v>
      </c>
    </row>
    <row r="6" spans="1:14" x14ac:dyDescent="0.3">
      <c r="A6" s="2" t="s">
        <v>113</v>
      </c>
      <c r="B6">
        <v>2023</v>
      </c>
      <c r="C6">
        <v>6.5</v>
      </c>
      <c r="K6" s="2" t="s">
        <v>13</v>
      </c>
      <c r="L6">
        <v>8.5</v>
      </c>
      <c r="M6" s="1" t="s">
        <v>123</v>
      </c>
      <c r="N6" t="s">
        <v>131</v>
      </c>
    </row>
    <row r="7" spans="1:14" x14ac:dyDescent="0.3">
      <c r="A7" s="2" t="s">
        <v>60</v>
      </c>
      <c r="B7">
        <v>2022</v>
      </c>
      <c r="C7">
        <v>6.5</v>
      </c>
      <c r="K7" s="2" t="s">
        <v>11</v>
      </c>
      <c r="L7">
        <v>8.5</v>
      </c>
      <c r="M7" s="2" t="s">
        <v>21</v>
      </c>
      <c r="N7" s="8">
        <v>6065</v>
      </c>
    </row>
    <row r="8" spans="1:14" x14ac:dyDescent="0.3">
      <c r="A8" s="2" t="s">
        <v>88</v>
      </c>
      <c r="B8">
        <v>2021</v>
      </c>
      <c r="C8">
        <v>6.5</v>
      </c>
      <c r="K8" s="2" t="s">
        <v>23</v>
      </c>
      <c r="L8">
        <v>8.5</v>
      </c>
      <c r="M8" s="2" t="s">
        <v>124</v>
      </c>
      <c r="N8" s="8">
        <v>6065</v>
      </c>
    </row>
    <row r="9" spans="1:14" x14ac:dyDescent="0.3">
      <c r="A9" s="2" t="s">
        <v>104</v>
      </c>
      <c r="B9">
        <v>2023</v>
      </c>
      <c r="C9">
        <v>6.5</v>
      </c>
      <c r="K9" s="2" t="s">
        <v>24</v>
      </c>
      <c r="L9">
        <v>8</v>
      </c>
    </row>
    <row r="10" spans="1:14" x14ac:dyDescent="0.3">
      <c r="A10" s="2" t="s">
        <v>70</v>
      </c>
      <c r="B10">
        <v>2023</v>
      </c>
      <c r="C10">
        <v>6.5</v>
      </c>
      <c r="K10" s="2" t="s">
        <v>15</v>
      </c>
      <c r="L10">
        <v>8</v>
      </c>
    </row>
    <row r="11" spans="1:14" x14ac:dyDescent="0.3">
      <c r="A11" s="2" t="s">
        <v>67</v>
      </c>
      <c r="B11">
        <v>2021</v>
      </c>
      <c r="C11">
        <v>6.5</v>
      </c>
      <c r="K11" s="2" t="s">
        <v>124</v>
      </c>
      <c r="L11">
        <v>60.5</v>
      </c>
    </row>
    <row r="12" spans="1:14" x14ac:dyDescent="0.3">
      <c r="A12" s="2" t="s">
        <v>48</v>
      </c>
      <c r="B12">
        <v>2023</v>
      </c>
      <c r="C12">
        <v>6.5</v>
      </c>
    </row>
    <row r="13" spans="1:14" x14ac:dyDescent="0.3">
      <c r="A13" s="2" t="s">
        <v>35</v>
      </c>
      <c r="B13">
        <v>2017</v>
      </c>
      <c r="C13">
        <v>6.5</v>
      </c>
    </row>
    <row r="14" spans="1:14" x14ac:dyDescent="0.3">
      <c r="A14" s="2" t="s">
        <v>115</v>
      </c>
      <c r="B14">
        <v>2020</v>
      </c>
      <c r="C14">
        <v>6.5</v>
      </c>
    </row>
    <row r="15" spans="1:14" x14ac:dyDescent="0.3">
      <c r="A15" s="2" t="s">
        <v>99</v>
      </c>
      <c r="B15">
        <v>2022</v>
      </c>
      <c r="C15">
        <v>6.5</v>
      </c>
    </row>
    <row r="16" spans="1:14" x14ac:dyDescent="0.3">
      <c r="A16" s="2" t="s">
        <v>41</v>
      </c>
      <c r="B16">
        <v>2022</v>
      </c>
      <c r="C16">
        <v>6.5</v>
      </c>
    </row>
    <row r="17" spans="1:3" x14ac:dyDescent="0.3">
      <c r="A17" s="2" t="s">
        <v>124</v>
      </c>
      <c r="B17">
        <v>26279</v>
      </c>
      <c r="C17">
        <v>6.5</v>
      </c>
    </row>
    <row r="46" spans="1:5" x14ac:dyDescent="0.3">
      <c r="A46" s="1" t="s">
        <v>123</v>
      </c>
      <c r="B46" t="s">
        <v>126</v>
      </c>
    </row>
    <row r="47" spans="1:5" x14ac:dyDescent="0.3">
      <c r="A47" s="2" t="s">
        <v>124</v>
      </c>
      <c r="D47" s="1" t="s">
        <v>129</v>
      </c>
      <c r="E47" t="s">
        <v>130</v>
      </c>
    </row>
    <row r="48" spans="1:5" x14ac:dyDescent="0.3">
      <c r="D48" s="2" t="s">
        <v>79</v>
      </c>
      <c r="E48">
        <v>0.1</v>
      </c>
    </row>
    <row r="49" spans="4:5" x14ac:dyDescent="0.3">
      <c r="D49" s="2" t="s">
        <v>124</v>
      </c>
      <c r="E49">
        <v>0.1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20B3-9EF7-4662-A120-1AEA45558A50}">
  <dimension ref="J2:L38"/>
  <sheetViews>
    <sheetView showGridLines="0" zoomScale="76" zoomScaleNormal="100" workbookViewId="0">
      <selection activeCell="W8" sqref="W8"/>
    </sheetView>
  </sheetViews>
  <sheetFormatPr defaultRowHeight="14.4" x14ac:dyDescent="0.3"/>
  <cols>
    <col min="1" max="10" width="8.88671875" style="3"/>
    <col min="11" max="11" width="12.44140625" style="3" customWidth="1"/>
    <col min="12" max="12" width="12.77734375" style="3" customWidth="1"/>
    <col min="13" max="16384" width="8.88671875" style="3"/>
  </cols>
  <sheetData>
    <row r="2" spans="10:12" ht="18" x14ac:dyDescent="0.35">
      <c r="K2" s="7"/>
    </row>
    <row r="3" spans="10:12" ht="43.2" x14ac:dyDescent="0.3">
      <c r="J3" s="5" t="str">
        <f>Sheet1!A3</f>
        <v>Row Labels</v>
      </c>
      <c r="K3" s="5" t="s">
        <v>128</v>
      </c>
      <c r="L3" s="5" t="str">
        <f>Sheet1!C3</f>
        <v>Average of Popularity Score (1-10)</v>
      </c>
    </row>
    <row r="4" spans="10:12" x14ac:dyDescent="0.3">
      <c r="J4" s="6" t="str">
        <f>Sheet1!A4</f>
        <v>Blackbox AI</v>
      </c>
      <c r="K4" s="6">
        <f>Sheet1!B4</f>
        <v>2022</v>
      </c>
      <c r="L4" s="6">
        <f>Sheet1!C4</f>
        <v>6.5</v>
      </c>
    </row>
    <row r="5" spans="10:12" x14ac:dyDescent="0.3">
      <c r="J5" s="6" t="str">
        <f>Sheet1!A5</f>
        <v>Descript</v>
      </c>
      <c r="K5" s="6">
        <f>Sheet1!B5</f>
        <v>2020</v>
      </c>
      <c r="L5" s="6">
        <f>Sheet1!C5</f>
        <v>6.5</v>
      </c>
    </row>
    <row r="6" spans="10:12" x14ac:dyDescent="0.3">
      <c r="J6" s="6" t="str">
        <f>Sheet1!A6</f>
        <v>Grok</v>
      </c>
      <c r="K6" s="6">
        <f>Sheet1!B6</f>
        <v>2023</v>
      </c>
      <c r="L6" s="6">
        <f>Sheet1!C6</f>
        <v>6.5</v>
      </c>
    </row>
    <row r="7" spans="10:12" x14ac:dyDescent="0.3">
      <c r="J7" s="6" t="str">
        <f>Sheet1!A7</f>
        <v>HeyGen</v>
      </c>
      <c r="K7" s="6">
        <f>Sheet1!B7</f>
        <v>2022</v>
      </c>
      <c r="L7" s="6">
        <f>Sheet1!C7</f>
        <v>6.5</v>
      </c>
    </row>
    <row r="8" spans="10:12" x14ac:dyDescent="0.3">
      <c r="J8" s="6" t="str">
        <f>Sheet1!A8</f>
        <v>Jasper</v>
      </c>
      <c r="K8" s="6">
        <f>Sheet1!B8</f>
        <v>2021</v>
      </c>
      <c r="L8" s="6">
        <f>Sheet1!C8</f>
        <v>6.5</v>
      </c>
    </row>
    <row r="9" spans="10:12" x14ac:dyDescent="0.3">
      <c r="J9" s="6" t="str">
        <f>Sheet1!A9</f>
        <v>Krea AI</v>
      </c>
      <c r="K9" s="6">
        <f>Sheet1!B9</f>
        <v>2023</v>
      </c>
      <c r="L9" s="6">
        <f>Sheet1!C9</f>
        <v>6.5</v>
      </c>
    </row>
    <row r="10" spans="10:12" x14ac:dyDescent="0.3">
      <c r="J10" s="6" t="str">
        <f>Sheet1!A10</f>
        <v>Leonardo.Ai</v>
      </c>
      <c r="K10" s="6">
        <f>Sheet1!B10</f>
        <v>2023</v>
      </c>
      <c r="L10" s="6">
        <f>Sheet1!C10</f>
        <v>6.5</v>
      </c>
    </row>
    <row r="11" spans="10:12" x14ac:dyDescent="0.3">
      <c r="J11" s="6" t="str">
        <f>Sheet1!A11</f>
        <v>Murf AI</v>
      </c>
      <c r="K11" s="6">
        <f>Sheet1!B11</f>
        <v>2021</v>
      </c>
      <c r="L11" s="6">
        <f>Sheet1!C11</f>
        <v>6.5</v>
      </c>
    </row>
    <row r="12" spans="10:12" x14ac:dyDescent="0.3">
      <c r="J12" s="6" t="str">
        <f>Sheet1!A12</f>
        <v>Pi</v>
      </c>
      <c r="K12" s="6">
        <f>Sheet1!B12</f>
        <v>2023</v>
      </c>
      <c r="L12" s="6">
        <f>Sheet1!C12</f>
        <v>6.5</v>
      </c>
    </row>
    <row r="13" spans="10:12" x14ac:dyDescent="0.3">
      <c r="J13" s="6" t="str">
        <f>Sheet1!A13</f>
        <v>Replika</v>
      </c>
      <c r="K13" s="6">
        <f>Sheet1!B13</f>
        <v>2017</v>
      </c>
      <c r="L13" s="6">
        <f>Sheet1!C13</f>
        <v>6.5</v>
      </c>
    </row>
    <row r="14" spans="10:12" x14ac:dyDescent="0.3">
      <c r="J14" s="6" t="str">
        <f>Sheet1!A14</f>
        <v>Tabnine</v>
      </c>
      <c r="K14" s="6">
        <f>Sheet1!B14</f>
        <v>2020</v>
      </c>
      <c r="L14" s="6">
        <f>Sheet1!C14</f>
        <v>6.5</v>
      </c>
    </row>
    <row r="15" spans="10:12" x14ac:dyDescent="0.3">
      <c r="J15" s="6" t="str">
        <f>Sheet1!A15</f>
        <v>Tome</v>
      </c>
      <c r="K15" s="6">
        <f>Sheet1!B15</f>
        <v>2022</v>
      </c>
      <c r="L15" s="6">
        <f>Sheet1!C15</f>
        <v>6.5</v>
      </c>
    </row>
    <row r="16" spans="10:12" x14ac:dyDescent="0.3">
      <c r="J16" s="6" t="str">
        <f>Sheet1!A16</f>
        <v>YouChat</v>
      </c>
      <c r="K16" s="6">
        <f>Sheet1!B16</f>
        <v>2022</v>
      </c>
      <c r="L16" s="6">
        <f>Sheet1!C16</f>
        <v>6.5</v>
      </c>
    </row>
    <row r="17" spans="10:12" x14ac:dyDescent="0.3">
      <c r="J17" s="6" t="str">
        <f>Sheet1!A17</f>
        <v>Grand Total</v>
      </c>
      <c r="K17" s="6">
        <f>Sheet1!B17</f>
        <v>26279</v>
      </c>
      <c r="L17" s="6">
        <f>Sheet1!C17</f>
        <v>6.5</v>
      </c>
    </row>
    <row r="18" spans="10:12" x14ac:dyDescent="0.3">
      <c r="J18" s="6">
        <f>Sheet1!A18</f>
        <v>0</v>
      </c>
      <c r="K18" s="6">
        <f>Sheet1!B18</f>
        <v>0</v>
      </c>
      <c r="L18" s="6">
        <f>Sheet1!C18</f>
        <v>0</v>
      </c>
    </row>
    <row r="19" spans="10:12" x14ac:dyDescent="0.3">
      <c r="J19" s="6">
        <f>Sheet1!A19</f>
        <v>0</v>
      </c>
      <c r="K19" s="6">
        <f>Sheet1!B19</f>
        <v>0</v>
      </c>
      <c r="L19" s="6">
        <f>Sheet1!C19</f>
        <v>0</v>
      </c>
    </row>
    <row r="20" spans="10:12" x14ac:dyDescent="0.3">
      <c r="J20" s="6">
        <f>Sheet1!A20</f>
        <v>0</v>
      </c>
      <c r="K20" s="6">
        <f>Sheet1!B20</f>
        <v>0</v>
      </c>
      <c r="L20" s="6">
        <f>Sheet1!C20</f>
        <v>0</v>
      </c>
    </row>
    <row r="21" spans="10:12" x14ac:dyDescent="0.3">
      <c r="J21" s="6">
        <f>Sheet1!A21</f>
        <v>0</v>
      </c>
      <c r="K21" s="6">
        <f>Sheet1!B21</f>
        <v>0</v>
      </c>
      <c r="L21" s="6">
        <f>Sheet1!C21</f>
        <v>0</v>
      </c>
    </row>
    <row r="22" spans="10:12" x14ac:dyDescent="0.3">
      <c r="J22" s="6">
        <f>Sheet1!A22</f>
        <v>0</v>
      </c>
      <c r="K22" s="6">
        <f>Sheet1!B22</f>
        <v>0</v>
      </c>
      <c r="L22" s="6">
        <f>Sheet1!C22</f>
        <v>0</v>
      </c>
    </row>
    <row r="23" spans="10:12" x14ac:dyDescent="0.3">
      <c r="J23" s="6">
        <f>Sheet1!A23</f>
        <v>0</v>
      </c>
      <c r="K23" s="6">
        <f>Sheet1!B23</f>
        <v>0</v>
      </c>
      <c r="L23" s="6">
        <f>Sheet1!C23</f>
        <v>0</v>
      </c>
    </row>
    <row r="24" spans="10:12" x14ac:dyDescent="0.3">
      <c r="J24" s="6">
        <f>Sheet1!A24</f>
        <v>0</v>
      </c>
      <c r="K24" s="6">
        <f>Sheet1!B24</f>
        <v>0</v>
      </c>
      <c r="L24" s="6">
        <f>Sheet1!C24</f>
        <v>0</v>
      </c>
    </row>
    <row r="25" spans="10:12" x14ac:dyDescent="0.3">
      <c r="J25" s="6">
        <f>Sheet1!A25</f>
        <v>0</v>
      </c>
      <c r="K25" s="6">
        <f>Sheet1!B25</f>
        <v>0</v>
      </c>
      <c r="L25" s="6">
        <f>Sheet1!C25</f>
        <v>0</v>
      </c>
    </row>
    <row r="26" spans="10:12" x14ac:dyDescent="0.3">
      <c r="J26" s="6">
        <f>Sheet1!A26</f>
        <v>0</v>
      </c>
      <c r="K26" s="6">
        <f>Sheet1!B26</f>
        <v>0</v>
      </c>
      <c r="L26" s="6">
        <f>Sheet1!C26</f>
        <v>0</v>
      </c>
    </row>
    <row r="27" spans="10:12" x14ac:dyDescent="0.3">
      <c r="J27" s="6">
        <f>Sheet1!A27</f>
        <v>0</v>
      </c>
      <c r="K27" s="6">
        <f>Sheet1!B27</f>
        <v>0</v>
      </c>
      <c r="L27" s="6">
        <f>Sheet1!C27</f>
        <v>0</v>
      </c>
    </row>
    <row r="28" spans="10:12" x14ac:dyDescent="0.3">
      <c r="J28" s="6">
        <f>Sheet1!A28</f>
        <v>0</v>
      </c>
      <c r="K28" s="6">
        <f>Sheet1!B28</f>
        <v>0</v>
      </c>
      <c r="L28" s="6">
        <f>Sheet1!C28</f>
        <v>0</v>
      </c>
    </row>
    <row r="29" spans="10:12" x14ac:dyDescent="0.3">
      <c r="J29" s="6">
        <f>Sheet1!A29</f>
        <v>0</v>
      </c>
      <c r="K29" s="6">
        <f>Sheet1!B29</f>
        <v>0</v>
      </c>
      <c r="L29" s="6">
        <f>Sheet1!C29</f>
        <v>0</v>
      </c>
    </row>
    <row r="30" spans="10:12" x14ac:dyDescent="0.3">
      <c r="J30" s="6">
        <f>Sheet1!A30</f>
        <v>0</v>
      </c>
      <c r="K30" s="6">
        <f>Sheet1!B30</f>
        <v>0</v>
      </c>
      <c r="L30" s="6">
        <f>Sheet1!C30</f>
        <v>0</v>
      </c>
    </row>
    <row r="31" spans="10:12" x14ac:dyDescent="0.3">
      <c r="J31" s="6">
        <f>Sheet1!A31</f>
        <v>0</v>
      </c>
      <c r="K31" s="6">
        <f>Sheet1!B31</f>
        <v>0</v>
      </c>
      <c r="L31" s="6">
        <f>Sheet1!C31</f>
        <v>0</v>
      </c>
    </row>
    <row r="32" spans="10:12" x14ac:dyDescent="0.3">
      <c r="J32" s="6">
        <f>Sheet1!A32</f>
        <v>0</v>
      </c>
      <c r="K32" s="6">
        <f>Sheet1!B32</f>
        <v>0</v>
      </c>
      <c r="L32" s="6">
        <f>Sheet1!C32</f>
        <v>0</v>
      </c>
    </row>
    <row r="33" spans="10:12" x14ac:dyDescent="0.3">
      <c r="J33" s="6">
        <f>Sheet1!A33</f>
        <v>0</v>
      </c>
      <c r="K33" s="6">
        <f>Sheet1!B33</f>
        <v>0</v>
      </c>
      <c r="L33" s="6">
        <f>Sheet1!C33</f>
        <v>0</v>
      </c>
    </row>
    <row r="34" spans="10:12" x14ac:dyDescent="0.3">
      <c r="J34" s="6">
        <f>Sheet1!A34</f>
        <v>0</v>
      </c>
      <c r="K34" s="6">
        <f>Sheet1!B34</f>
        <v>0</v>
      </c>
      <c r="L34" s="6">
        <f>Sheet1!C34</f>
        <v>0</v>
      </c>
    </row>
    <row r="35" spans="10:12" x14ac:dyDescent="0.3">
      <c r="J35" s="6">
        <f>Sheet1!A35</f>
        <v>0</v>
      </c>
      <c r="K35" s="6">
        <f>Sheet1!B35</f>
        <v>0</v>
      </c>
      <c r="L35" s="6">
        <f>Sheet1!C35</f>
        <v>0</v>
      </c>
    </row>
    <row r="36" spans="10:12" x14ac:dyDescent="0.3">
      <c r="J36" s="6">
        <f>Sheet1!A36</f>
        <v>0</v>
      </c>
      <c r="K36" s="6">
        <f>Sheet1!B36</f>
        <v>0</v>
      </c>
      <c r="L36" s="6">
        <f>Sheet1!C36</f>
        <v>0</v>
      </c>
    </row>
    <row r="37" spans="10:12" x14ac:dyDescent="0.3">
      <c r="J37" s="6">
        <f>Sheet1!A37</f>
        <v>0</v>
      </c>
      <c r="K37" s="6">
        <f>Sheet1!B37</f>
        <v>0</v>
      </c>
      <c r="L37" s="6">
        <f>Sheet1!C37</f>
        <v>0</v>
      </c>
    </row>
    <row r="38" spans="10:12" x14ac:dyDescent="0.3">
      <c r="J38" s="4"/>
      <c r="K38" s="4"/>
      <c r="L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09A2F9-EF25-4928-8E08-6AB902450988}">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AI_Tools_List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Sanskruti Gangane</dc:creator>
  <cp:lastModifiedBy>Sanskruti Gangane</cp:lastModifiedBy>
  <dcterms:created xsi:type="dcterms:W3CDTF">2025-09-05T04:05:12Z</dcterms:created>
  <dcterms:modified xsi:type="dcterms:W3CDTF">2026-02-04T01:59:47Z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{5609A2F9-EF25-4928-8E08-6AB902450988}</vt:lpwstr>
  </property>
</Properties>
</file>